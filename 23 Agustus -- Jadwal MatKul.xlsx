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suf\Documents\PKL-FASILKOM\"/>
    </mc:Choice>
  </mc:AlternateContent>
  <xr:revisionPtr revIDLastSave="0" documentId="8_{55E75FC3-E2B9-4D60-95BD-E2D4F38556D5}" xr6:coauthVersionLast="47" xr6:coauthVersionMax="47" xr10:uidLastSave="{00000000-0000-0000-0000-000000000000}"/>
  <bookViews>
    <workbookView xWindow="-108" yWindow="-108" windowWidth="23256" windowHeight="13176" xr2:uid="{0127DC70-F592-47FA-BF3F-DF94A2D9F74C}"/>
  </bookViews>
  <sheets>
    <sheet name="Gedung Baru" sheetId="1" r:id="rId1"/>
    <sheet name="Gedung Lama" sheetId="2" r:id="rId2"/>
  </sheets>
  <definedNames>
    <definedName name="_xlnm._FilterDatabase" localSheetId="0" hidden="1">'Gedung Baru'!$B$1:$N$466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3" i="2" l="1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21" i="1"/>
  <c r="M22" i="1"/>
  <c r="M23" i="1"/>
  <c r="M24" i="1"/>
  <c r="M25" i="1"/>
  <c r="M26" i="1"/>
  <c r="M27" i="1"/>
  <c r="M28" i="1"/>
  <c r="M17" i="1"/>
  <c r="M109" i="1"/>
  <c r="M110" i="1"/>
  <c r="M205" i="1"/>
  <c r="M257" i="1"/>
  <c r="M39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258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5" i="1"/>
  <c r="M206" i="1"/>
  <c r="M259" i="1"/>
  <c r="M339" i="1"/>
  <c r="M67" i="1"/>
  <c r="M68" i="1"/>
  <c r="M69" i="1"/>
  <c r="M70" i="1"/>
  <c r="M71" i="1"/>
  <c r="M72" i="1"/>
  <c r="M73" i="1"/>
  <c r="M74" i="1"/>
  <c r="M75" i="1"/>
  <c r="M76" i="1"/>
  <c r="M77" i="1"/>
  <c r="M78" i="1"/>
  <c r="M66" i="1"/>
  <c r="M163" i="1"/>
  <c r="M337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123" i="1"/>
  <c r="M296" i="1"/>
  <c r="M99" i="1"/>
  <c r="M100" i="1"/>
  <c r="M101" i="1"/>
  <c r="M102" i="1"/>
  <c r="M103" i="1"/>
  <c r="M104" i="1"/>
  <c r="M105" i="1"/>
  <c r="M106" i="1"/>
  <c r="M79" i="1"/>
  <c r="M124" i="1"/>
  <c r="M275" i="1"/>
  <c r="M351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2" i="1"/>
  <c r="M3" i="1"/>
  <c r="M80" i="1"/>
  <c r="M125" i="1"/>
  <c r="M207" i="1"/>
  <c r="M376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29" i="1"/>
  <c r="M126" i="1"/>
  <c r="M208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27" i="1"/>
  <c r="M220" i="1"/>
  <c r="M276" i="1"/>
  <c r="M352" i="1"/>
  <c r="M392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28" i="1"/>
  <c r="M221" i="1"/>
  <c r="M183" i="1"/>
  <c r="M184" i="1"/>
  <c r="M185" i="1"/>
  <c r="M186" i="1"/>
  <c r="M187" i="1"/>
  <c r="M188" i="1"/>
  <c r="M189" i="1"/>
  <c r="M190" i="1"/>
  <c r="M145" i="1"/>
  <c r="M222" i="1"/>
  <c r="M403" i="1"/>
  <c r="M404" i="1"/>
  <c r="M195" i="1"/>
  <c r="M196" i="1"/>
  <c r="M197" i="1"/>
  <c r="M198" i="1"/>
  <c r="M199" i="1"/>
  <c r="M200" i="1"/>
  <c r="M201" i="1"/>
  <c r="M202" i="1"/>
  <c r="M203" i="1"/>
  <c r="M204" i="1"/>
  <c r="M146" i="1"/>
  <c r="M223" i="1"/>
  <c r="M405" i="1"/>
  <c r="M417" i="1"/>
  <c r="M209" i="1"/>
  <c r="M210" i="1"/>
  <c r="M211" i="1"/>
  <c r="M212" i="1"/>
  <c r="M213" i="1"/>
  <c r="M214" i="1"/>
  <c r="M215" i="1"/>
  <c r="M216" i="1"/>
  <c r="M217" i="1"/>
  <c r="M218" i="1"/>
  <c r="M219" i="1"/>
  <c r="M81" i="1"/>
  <c r="M240" i="1"/>
  <c r="M335" i="1"/>
  <c r="M336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30" i="1"/>
  <c r="M241" i="1"/>
  <c r="M418" i="1"/>
  <c r="M419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31" i="1"/>
  <c r="M164" i="1"/>
  <c r="M430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32" i="1"/>
  <c r="M33" i="1"/>
  <c r="M181" i="1"/>
  <c r="M353" i="1"/>
  <c r="M431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34" i="1"/>
  <c r="M49" i="1"/>
  <c r="M182" i="1"/>
  <c r="M432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242" i="1"/>
  <c r="M277" i="1"/>
  <c r="M355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63" i="1"/>
  <c r="M64" i="1"/>
  <c r="M191" i="1"/>
  <c r="M278" i="1"/>
  <c r="M279" i="1"/>
  <c r="M340" i="1"/>
  <c r="M341" i="1"/>
  <c r="M342" i="1"/>
  <c r="M343" i="1"/>
  <c r="M344" i="1"/>
  <c r="M345" i="1"/>
  <c r="M346" i="1"/>
  <c r="M347" i="1"/>
  <c r="M348" i="1"/>
  <c r="M349" i="1"/>
  <c r="M350" i="1"/>
  <c r="M97" i="1"/>
  <c r="M147" i="1"/>
  <c r="M160" i="1"/>
  <c r="M368" i="1"/>
  <c r="M393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192" i="1"/>
  <c r="M338" i="1"/>
  <c r="M370" i="1"/>
  <c r="M371" i="1"/>
  <c r="M372" i="1"/>
  <c r="M373" i="1"/>
  <c r="M374" i="1"/>
  <c r="M4" i="1"/>
  <c r="M98" i="1"/>
  <c r="M161" i="1"/>
  <c r="M243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15" i="1"/>
  <c r="M107" i="1"/>
  <c r="M193" i="1"/>
  <c r="M295" i="1"/>
  <c r="M395" i="1"/>
  <c r="M396" i="1"/>
  <c r="M397" i="1"/>
  <c r="M398" i="1"/>
  <c r="M399" i="1"/>
  <c r="M400" i="1"/>
  <c r="M401" i="1"/>
  <c r="M402" i="1"/>
  <c r="M194" i="1"/>
  <c r="M297" i="1"/>
  <c r="M442" i="1"/>
  <c r="M406" i="1"/>
  <c r="M407" i="1"/>
  <c r="M408" i="1"/>
  <c r="M409" i="1"/>
  <c r="M410" i="1"/>
  <c r="M411" i="1"/>
  <c r="M412" i="1"/>
  <c r="M413" i="1"/>
  <c r="M414" i="1"/>
  <c r="M415" i="1"/>
  <c r="M416" i="1"/>
  <c r="M298" i="1"/>
  <c r="M377" i="1"/>
  <c r="M378" i="1"/>
  <c r="M420" i="1"/>
  <c r="M421" i="1"/>
  <c r="M422" i="1"/>
  <c r="M423" i="1"/>
  <c r="M424" i="1"/>
  <c r="M425" i="1"/>
  <c r="M426" i="1"/>
  <c r="M427" i="1"/>
  <c r="M428" i="1"/>
  <c r="M429" i="1"/>
  <c r="M314" i="1"/>
  <c r="M315" i="1"/>
  <c r="M391" i="1"/>
  <c r="M433" i="1"/>
  <c r="M434" i="1"/>
  <c r="M435" i="1"/>
  <c r="M436" i="1"/>
  <c r="M437" i="1"/>
  <c r="M438" i="1"/>
  <c r="M439" i="1"/>
  <c r="M440" i="1"/>
  <c r="M441" i="1"/>
  <c r="M316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20" i="1"/>
  <c r="M11" i="1"/>
  <c r="M12" i="1"/>
  <c r="M13" i="1"/>
  <c r="M14" i="1"/>
  <c r="M16" i="1"/>
  <c r="M162" i="1"/>
  <c r="M354" i="1"/>
  <c r="M18" i="1"/>
  <c r="M19" i="1"/>
  <c r="M369" i="1"/>
  <c r="M375" i="1"/>
  <c r="M5" i="1"/>
  <c r="M6" i="1"/>
  <c r="M7" i="1"/>
  <c r="M8" i="1"/>
  <c r="M9" i="1"/>
  <c r="M10" i="1"/>
  <c r="M108" i="1"/>
  <c r="L10" i="1"/>
  <c r="L11" i="1"/>
  <c r="L12" i="1"/>
  <c r="L13" i="1"/>
  <c r="L8" i="1"/>
  <c r="L5" i="1"/>
  <c r="L6" i="1"/>
  <c r="L7" i="1"/>
  <c r="L108" i="1"/>
  <c r="L369" i="1"/>
  <c r="L375" i="1"/>
  <c r="L25" i="1"/>
  <c r="L26" i="1"/>
  <c r="L27" i="1"/>
  <c r="L22" i="1"/>
  <c r="L23" i="1"/>
  <c r="L24" i="1"/>
  <c r="L18" i="1"/>
  <c r="L19" i="1"/>
  <c r="L20" i="1"/>
  <c r="L21" i="1"/>
  <c r="L16" i="1"/>
  <c r="L162" i="1"/>
  <c r="L354" i="1"/>
  <c r="L14" i="1"/>
  <c r="L43" i="1"/>
  <c r="L44" i="1"/>
  <c r="L45" i="1"/>
  <c r="L37" i="1"/>
  <c r="L38" i="1"/>
  <c r="L39" i="1"/>
  <c r="L40" i="1"/>
  <c r="L41" i="1"/>
  <c r="L42" i="1"/>
  <c r="L35" i="1"/>
  <c r="L36" i="1"/>
  <c r="L17" i="1"/>
  <c r="L109" i="1"/>
  <c r="L110" i="1"/>
  <c r="L205" i="1"/>
  <c r="L257" i="1"/>
  <c r="L394" i="1"/>
  <c r="L28" i="1"/>
  <c r="L51" i="1"/>
  <c r="L52" i="1"/>
  <c r="L53" i="1"/>
  <c r="L54" i="1"/>
  <c r="L55" i="1"/>
  <c r="L50" i="1"/>
  <c r="L258" i="1"/>
  <c r="L46" i="1"/>
  <c r="L47" i="1"/>
  <c r="L48" i="1"/>
  <c r="L59" i="1"/>
  <c r="L60" i="1"/>
  <c r="L61" i="1"/>
  <c r="L58" i="1"/>
  <c r="L56" i="1"/>
  <c r="L57" i="1"/>
  <c r="L75" i="1"/>
  <c r="L76" i="1"/>
  <c r="L77" i="1"/>
  <c r="L71" i="1"/>
  <c r="L72" i="1"/>
  <c r="L73" i="1"/>
  <c r="L74" i="1"/>
  <c r="L67" i="1"/>
  <c r="L68" i="1"/>
  <c r="L69" i="1"/>
  <c r="L70" i="1"/>
  <c r="L65" i="1"/>
  <c r="L206" i="1"/>
  <c r="L259" i="1"/>
  <c r="L339" i="1"/>
  <c r="L62" i="1"/>
  <c r="L89" i="1"/>
  <c r="L90" i="1"/>
  <c r="L91" i="1"/>
  <c r="L92" i="1"/>
  <c r="L93" i="1"/>
  <c r="L85" i="1"/>
  <c r="L86" i="1"/>
  <c r="L87" i="1"/>
  <c r="L88" i="1"/>
  <c r="L82" i="1"/>
  <c r="L83" i="1"/>
  <c r="L84" i="1"/>
  <c r="L66" i="1"/>
  <c r="L163" i="1"/>
  <c r="L337" i="1"/>
  <c r="L78" i="1"/>
  <c r="L104" i="1"/>
  <c r="L105" i="1"/>
  <c r="L102" i="1"/>
  <c r="L103" i="1"/>
  <c r="L99" i="1"/>
  <c r="L100" i="1"/>
  <c r="L101" i="1"/>
  <c r="L123" i="1"/>
  <c r="L296" i="1"/>
  <c r="L94" i="1"/>
  <c r="L95" i="1"/>
  <c r="L96" i="1"/>
  <c r="L119" i="1"/>
  <c r="L120" i="1"/>
  <c r="L121" i="1"/>
  <c r="L122" i="1"/>
  <c r="L115" i="1"/>
  <c r="L116" i="1"/>
  <c r="L117" i="1"/>
  <c r="L118" i="1"/>
  <c r="L111" i="1"/>
  <c r="L112" i="1"/>
  <c r="L113" i="1"/>
  <c r="L114" i="1"/>
  <c r="L79" i="1"/>
  <c r="L124" i="1"/>
  <c r="L275" i="1"/>
  <c r="L351" i="1"/>
  <c r="L106" i="1"/>
  <c r="L139" i="1"/>
  <c r="L140" i="1"/>
  <c r="L141" i="1"/>
  <c r="L142" i="1"/>
  <c r="L143" i="1"/>
  <c r="L134" i="1"/>
  <c r="L135" i="1"/>
  <c r="L136" i="1"/>
  <c r="L137" i="1"/>
  <c r="L138" i="1"/>
  <c r="L129" i="1"/>
  <c r="L130" i="1"/>
  <c r="L131" i="1"/>
  <c r="L132" i="1"/>
  <c r="L133" i="1"/>
  <c r="L2" i="1"/>
  <c r="L3" i="1"/>
  <c r="L80" i="1"/>
  <c r="L125" i="1"/>
  <c r="L207" i="1"/>
  <c r="L376" i="1"/>
  <c r="L156" i="1"/>
  <c r="L157" i="1"/>
  <c r="L158" i="1"/>
  <c r="L152" i="1"/>
  <c r="L153" i="1"/>
  <c r="L154" i="1"/>
  <c r="L155" i="1"/>
  <c r="L148" i="1"/>
  <c r="L149" i="1"/>
  <c r="L150" i="1"/>
  <c r="L151" i="1"/>
  <c r="L29" i="1"/>
  <c r="L126" i="1"/>
  <c r="L208" i="1"/>
  <c r="L144" i="1"/>
  <c r="L173" i="1"/>
  <c r="L174" i="1"/>
  <c r="L175" i="1"/>
  <c r="L176" i="1"/>
  <c r="L177" i="1"/>
  <c r="L169" i="1"/>
  <c r="L170" i="1"/>
  <c r="L171" i="1"/>
  <c r="L172" i="1"/>
  <c r="L165" i="1"/>
  <c r="L166" i="1"/>
  <c r="L167" i="1"/>
  <c r="L168" i="1"/>
  <c r="L127" i="1"/>
  <c r="L220" i="1"/>
  <c r="L276" i="1"/>
  <c r="L352" i="1"/>
  <c r="L392" i="1"/>
  <c r="L159" i="1"/>
  <c r="L187" i="1"/>
  <c r="L188" i="1"/>
  <c r="L189" i="1"/>
  <c r="L185" i="1"/>
  <c r="L186" i="1"/>
  <c r="L183" i="1"/>
  <c r="L184" i="1"/>
  <c r="L128" i="1"/>
  <c r="L221" i="1"/>
  <c r="L178" i="1"/>
  <c r="L179" i="1"/>
  <c r="L180" i="1"/>
  <c r="L200" i="1"/>
  <c r="L201" i="1"/>
  <c r="L202" i="1"/>
  <c r="L203" i="1"/>
  <c r="L198" i="1"/>
  <c r="L199" i="1"/>
  <c r="L195" i="1"/>
  <c r="L196" i="1"/>
  <c r="L197" i="1"/>
  <c r="L145" i="1"/>
  <c r="L222" i="1"/>
  <c r="L403" i="1"/>
  <c r="L404" i="1"/>
  <c r="L190" i="1"/>
  <c r="L215" i="1"/>
  <c r="L216" i="1"/>
  <c r="L217" i="1"/>
  <c r="L218" i="1"/>
  <c r="L213" i="1"/>
  <c r="L214" i="1"/>
  <c r="L209" i="1"/>
  <c r="L210" i="1"/>
  <c r="L211" i="1"/>
  <c r="L212" i="1"/>
  <c r="L146" i="1"/>
  <c r="L223" i="1"/>
  <c r="L405" i="1"/>
  <c r="L417" i="1"/>
  <c r="L204" i="1"/>
  <c r="L233" i="1"/>
  <c r="L234" i="1"/>
  <c r="L235" i="1"/>
  <c r="L236" i="1"/>
  <c r="L237" i="1"/>
  <c r="L228" i="1"/>
  <c r="L229" i="1"/>
  <c r="L230" i="1"/>
  <c r="L231" i="1"/>
  <c r="L232" i="1"/>
  <c r="L224" i="1"/>
  <c r="L225" i="1"/>
  <c r="L226" i="1"/>
  <c r="L227" i="1"/>
  <c r="L81" i="1"/>
  <c r="L240" i="1"/>
  <c r="L335" i="1"/>
  <c r="L336" i="1"/>
  <c r="L219" i="1"/>
  <c r="L250" i="1"/>
  <c r="L251" i="1"/>
  <c r="L252" i="1"/>
  <c r="L253" i="1"/>
  <c r="L254" i="1"/>
  <c r="L246" i="1"/>
  <c r="L247" i="1"/>
  <c r="L248" i="1"/>
  <c r="L249" i="1"/>
  <c r="L244" i="1"/>
  <c r="L245" i="1"/>
  <c r="L30" i="1"/>
  <c r="L241" i="1"/>
  <c r="L418" i="1"/>
  <c r="L419" i="1"/>
  <c r="L238" i="1"/>
  <c r="L239" i="1"/>
  <c r="L267" i="1"/>
  <c r="L268" i="1"/>
  <c r="L269" i="1"/>
  <c r="L270" i="1"/>
  <c r="L271" i="1"/>
  <c r="L263" i="1"/>
  <c r="L264" i="1"/>
  <c r="L265" i="1"/>
  <c r="L266" i="1"/>
  <c r="L260" i="1"/>
  <c r="L261" i="1"/>
  <c r="L262" i="1"/>
  <c r="L31" i="1"/>
  <c r="L164" i="1"/>
  <c r="L430" i="1"/>
  <c r="L255" i="1"/>
  <c r="L256" i="1"/>
  <c r="L289" i="1"/>
  <c r="L290" i="1"/>
  <c r="L291" i="1"/>
  <c r="L283" i="1"/>
  <c r="L284" i="1"/>
  <c r="L285" i="1"/>
  <c r="L286" i="1"/>
  <c r="L287" i="1"/>
  <c r="L288" i="1"/>
  <c r="L280" i="1"/>
  <c r="L281" i="1"/>
  <c r="L282" i="1"/>
  <c r="L32" i="1"/>
  <c r="L33" i="1"/>
  <c r="L181" i="1"/>
  <c r="L353" i="1"/>
  <c r="L431" i="1"/>
  <c r="L272" i="1"/>
  <c r="L273" i="1"/>
  <c r="L274" i="1"/>
  <c r="L307" i="1"/>
  <c r="L308" i="1"/>
  <c r="L309" i="1"/>
  <c r="L310" i="1"/>
  <c r="L303" i="1"/>
  <c r="L304" i="1"/>
  <c r="L305" i="1"/>
  <c r="L306" i="1"/>
  <c r="L299" i="1"/>
  <c r="L300" i="1"/>
  <c r="L301" i="1"/>
  <c r="L302" i="1"/>
  <c r="L34" i="1"/>
  <c r="L49" i="1"/>
  <c r="L182" i="1"/>
  <c r="L432" i="1"/>
  <c r="L292" i="1"/>
  <c r="L293" i="1"/>
  <c r="L294" i="1"/>
  <c r="L326" i="1"/>
  <c r="L327" i="1"/>
  <c r="L328" i="1"/>
  <c r="L329" i="1"/>
  <c r="L330" i="1"/>
  <c r="L321" i="1"/>
  <c r="L322" i="1"/>
  <c r="L323" i="1"/>
  <c r="L324" i="1"/>
  <c r="L325" i="1"/>
  <c r="L317" i="1"/>
  <c r="L318" i="1"/>
  <c r="L319" i="1"/>
  <c r="L320" i="1"/>
  <c r="L242" i="1"/>
  <c r="L277" i="1"/>
  <c r="L355" i="1"/>
  <c r="L311" i="1"/>
  <c r="L312" i="1"/>
  <c r="L313" i="1"/>
  <c r="L346" i="1"/>
  <c r="L347" i="1"/>
  <c r="L348" i="1"/>
  <c r="L349" i="1"/>
  <c r="L342" i="1"/>
  <c r="L343" i="1"/>
  <c r="L344" i="1"/>
  <c r="L345" i="1"/>
  <c r="L340" i="1"/>
  <c r="L341" i="1"/>
  <c r="L63" i="1"/>
  <c r="L64" i="1"/>
  <c r="L191" i="1"/>
  <c r="L278" i="1"/>
  <c r="L279" i="1"/>
  <c r="L331" i="1"/>
  <c r="L332" i="1"/>
  <c r="L333" i="1"/>
  <c r="L334" i="1"/>
  <c r="L363" i="1"/>
  <c r="L364" i="1"/>
  <c r="L365" i="1"/>
  <c r="L366" i="1"/>
  <c r="L361" i="1"/>
  <c r="L362" i="1"/>
  <c r="L356" i="1"/>
  <c r="L357" i="1"/>
  <c r="L358" i="1"/>
  <c r="L359" i="1"/>
  <c r="L360" i="1"/>
  <c r="L97" i="1"/>
  <c r="L147" i="1"/>
  <c r="L160" i="1"/>
  <c r="L368" i="1"/>
  <c r="L393" i="1"/>
  <c r="L350" i="1"/>
  <c r="L374" i="1"/>
  <c r="L371" i="1"/>
  <c r="L372" i="1"/>
  <c r="L373" i="1"/>
  <c r="L370" i="1"/>
  <c r="L192" i="1"/>
  <c r="L338" i="1"/>
  <c r="L367" i="1"/>
  <c r="L386" i="1"/>
  <c r="L387" i="1"/>
  <c r="L388" i="1"/>
  <c r="L382" i="1"/>
  <c r="L383" i="1"/>
  <c r="L384" i="1"/>
  <c r="L385" i="1"/>
  <c r="L379" i="1"/>
  <c r="L380" i="1"/>
  <c r="L381" i="1"/>
  <c r="L4" i="1"/>
  <c r="L98" i="1"/>
  <c r="L161" i="1"/>
  <c r="L243" i="1"/>
  <c r="L400" i="1"/>
  <c r="L401" i="1"/>
  <c r="L397" i="1"/>
  <c r="L398" i="1"/>
  <c r="L399" i="1"/>
  <c r="L395" i="1"/>
  <c r="L396" i="1"/>
  <c r="L15" i="1"/>
  <c r="L107" i="1"/>
  <c r="L193" i="1"/>
  <c r="L295" i="1"/>
  <c r="L389" i="1"/>
  <c r="L390" i="1"/>
  <c r="L411" i="1"/>
  <c r="L412" i="1"/>
  <c r="L409" i="1"/>
  <c r="L410" i="1"/>
  <c r="L406" i="1"/>
  <c r="L407" i="1"/>
  <c r="L408" i="1"/>
  <c r="L194" i="1"/>
  <c r="L297" i="1"/>
  <c r="L442" i="1"/>
  <c r="L402" i="1"/>
  <c r="L426" i="1"/>
  <c r="L424" i="1"/>
  <c r="L425" i="1"/>
  <c r="L420" i="1"/>
  <c r="L421" i="1"/>
  <c r="L422" i="1"/>
  <c r="L423" i="1"/>
  <c r="L298" i="1"/>
  <c r="L377" i="1"/>
  <c r="L378" i="1"/>
  <c r="L413" i="1"/>
  <c r="L414" i="1"/>
  <c r="L415" i="1"/>
  <c r="L416" i="1"/>
  <c r="L438" i="1"/>
  <c r="L439" i="1"/>
  <c r="L436" i="1"/>
  <c r="L437" i="1"/>
  <c r="L433" i="1"/>
  <c r="L434" i="1"/>
  <c r="L435" i="1"/>
  <c r="L314" i="1"/>
  <c r="L315" i="1"/>
  <c r="L391" i="1"/>
  <c r="L427" i="1"/>
  <c r="L428" i="1"/>
  <c r="L429" i="1"/>
  <c r="L450" i="1"/>
  <c r="L451" i="1"/>
  <c r="L449" i="1"/>
  <c r="L445" i="1"/>
  <c r="L446" i="1"/>
  <c r="L447" i="1"/>
  <c r="L448" i="1"/>
  <c r="L316" i="1"/>
  <c r="L443" i="1"/>
  <c r="L444" i="1"/>
  <c r="L440" i="1"/>
  <c r="L441" i="1"/>
  <c r="L454" i="1"/>
  <c r="L453" i="1"/>
  <c r="L452" i="1"/>
  <c r="L9" i="1"/>
</calcChain>
</file>

<file path=xl/sharedStrings.xml><?xml version="1.0" encoding="utf-8"?>
<sst xmlns="http://schemas.openxmlformats.org/spreadsheetml/2006/main" count="4484" uniqueCount="633">
  <si>
    <t>CSGE900979</t>
  </si>
  <si>
    <t>05.00.12.01-2024</t>
  </si>
  <si>
    <t>Filsafat Ilmu, Metodologi &amp; Etika</t>
  </si>
  <si>
    <t>Filsafat</t>
  </si>
  <si>
    <t>Prof. Dr.Eng. Wisnu Jatmiko, S.T., M.Kom.</t>
  </si>
  <si>
    <t>Senin, 08:00 - 09:40</t>
  </si>
  <si>
    <t>S3 - Ilmu Komputer</t>
  </si>
  <si>
    <t>CSCM802123</t>
  </si>
  <si>
    <t>03.00.12.01-2024</t>
  </si>
  <si>
    <t>Rekayasa Perangkat Lunak Lanjut</t>
  </si>
  <si>
    <t>RPLL</t>
  </si>
  <si>
    <t>Prof. Dr. Ir. Eko Kuswardono Budiardjo, M.Sc.</t>
  </si>
  <si>
    <t>Senin, 10:00 - 11:40</t>
  </si>
  <si>
    <t>S2 - Ilmu Komputer</t>
  </si>
  <si>
    <t>Ir. Wahyu Catur Wibowo, M.Sc., Ph.D., IPU</t>
  </si>
  <si>
    <t>CSCE802231</t>
  </si>
  <si>
    <t>Pengolahan Citra Lanjut</t>
  </si>
  <si>
    <t>PCL</t>
  </si>
  <si>
    <t>Dr.Eng. Laksmita Rahadianti, S.Kom., M.Sc.</t>
  </si>
  <si>
    <t>Senin, 13:00 - 14:40</t>
  </si>
  <si>
    <t>Prof. Dr. Ir. Aniati Murni, M.Sc.</t>
  </si>
  <si>
    <t>Senin, 15:00 - 16:40</t>
  </si>
  <si>
    <t>Selasa, 14:00 - 15:40</t>
  </si>
  <si>
    <t>Rabu, 08:00 - 09:40</t>
  </si>
  <si>
    <t>Jumat, 08:00 - 09:40</t>
  </si>
  <si>
    <t>CSGE801091</t>
  </si>
  <si>
    <t>Metodologi Penelitian</t>
  </si>
  <si>
    <t>Metpen</t>
  </si>
  <si>
    <t>Betty Purwandari, S.Kom., M.Sc., Ph.D.</t>
  </si>
  <si>
    <t>Selasa, 08:00 - 09:40</t>
  </si>
  <si>
    <t>Prof. Dr. Indra Budi, S.Kom., M.Kom.</t>
  </si>
  <si>
    <t>Rabu, 10:00 - 11:40</t>
  </si>
  <si>
    <t>Kamis, 16:00 - 17:40</t>
  </si>
  <si>
    <t>CSCE802236</t>
  </si>
  <si>
    <t>Perolehan Informasi Lanjut</t>
  </si>
  <si>
    <t>PIL</t>
  </si>
  <si>
    <t>Evi Yulianti, M.Comp.Sc, M.Kom., Ph.D.</t>
  </si>
  <si>
    <t>Selasa, 10:00 - 11:40</t>
  </si>
  <si>
    <t>CSCM802133</t>
  </si>
  <si>
    <t>Pemelajaran Mesin Lanjut</t>
  </si>
  <si>
    <t>PML</t>
  </si>
  <si>
    <t>Dr. Kurniawati Azizah, S.T., M.Phil.</t>
  </si>
  <si>
    <t>Selasa, 13:00 - 14:40</t>
  </si>
  <si>
    <t>Kamis, 08:00 - 09:40</t>
  </si>
  <si>
    <t>Kamis, 10:00 - 11:40</t>
  </si>
  <si>
    <t>Kamis, 13:00 - 14:40</t>
  </si>
  <si>
    <t>Jumat, 14:00 - 15:40</t>
  </si>
  <si>
    <t>CSIE802121</t>
  </si>
  <si>
    <t>Manajemen Proyek Lanjut</t>
  </si>
  <si>
    <t>Manpro Lanjut</t>
  </si>
  <si>
    <t>Bob Hardian, S.T., M.Kom., Ph.D.</t>
  </si>
  <si>
    <t>Alex Ferdinansyah, S.Kom., M.Kom.</t>
  </si>
  <si>
    <t>CSIM801180</t>
  </si>
  <si>
    <t>Sistem Informasi Lanjut</t>
  </si>
  <si>
    <t>SIL</t>
  </si>
  <si>
    <t>Prof. Ir. Dana Indra Sensuse, M.LIS, Ph.D.</t>
  </si>
  <si>
    <t>Imairi Eitiveni, S.Kom., M.Kom., Ph.D.</t>
  </si>
  <si>
    <t>CSIE802122</t>
  </si>
  <si>
    <t>Pengajaran Berbantuan Komputer Lanjut</t>
  </si>
  <si>
    <t>PBKL</t>
  </si>
  <si>
    <t>Prof. Dr. Dra. Kasiyah, M.Sc.</t>
  </si>
  <si>
    <t>Prof. Harry Budi Santoso, S.Kom., M.Kom., Ph.D.</t>
  </si>
  <si>
    <t>Jumat, 10:00 - 11:40</t>
  </si>
  <si>
    <t>Jumat, 16:00 - 17:40</t>
  </si>
  <si>
    <t>4201-L2RA (Kelas 2A)</t>
  </si>
  <si>
    <t>CSIM801012</t>
  </si>
  <si>
    <t>04.00.12.01-2024</t>
  </si>
  <si>
    <t>Analisis Kebutuhan &amp; Perancangan SI</t>
  </si>
  <si>
    <t>AKPSI-2026SA</t>
  </si>
  <si>
    <t>Dr. Farisya Setiadi, S.T., M.T.I.</t>
  </si>
  <si>
    <t>Senin, 14:00 - 16:30</t>
  </si>
  <si>
    <t>S2 - Teknologi Informasi</t>
  </si>
  <si>
    <t>CSIM801022</t>
  </si>
  <si>
    <t>Manajemen Strategis SI</t>
  </si>
  <si>
    <t>MSSI-2025F</t>
  </si>
  <si>
    <t>Riri Satria, S.Kom., M.M.</t>
  </si>
  <si>
    <t>Senin, 19:00 - 21:30</t>
  </si>
  <si>
    <t>Dr. Panca Oktavia Hadi Putra, B.Sc., M.Bus.</t>
  </si>
  <si>
    <t>CSIM801014</t>
  </si>
  <si>
    <t>Sistem Informasi Perusahaan</t>
  </si>
  <si>
    <t>SIP-2026SA</t>
  </si>
  <si>
    <t>Selasa, 14:00 - 16:30</t>
  </si>
  <si>
    <t>CSIM801023</t>
  </si>
  <si>
    <t>Dinamika Tim Perangkat Lunak</t>
  </si>
  <si>
    <t>DTPL-2025F</t>
  </si>
  <si>
    <t>Selasa, 19:00 - 21:30</t>
  </si>
  <si>
    <t>Heru Martin Saputra, S.Kom., M.T.I.</t>
  </si>
  <si>
    <t>Kodrat Mahatma, S.T., M.Kom.</t>
  </si>
  <si>
    <t>CSIM801011</t>
  </si>
  <si>
    <t>Infrastruktur TI</t>
  </si>
  <si>
    <t>INTI-2026SA</t>
  </si>
  <si>
    <t>Setiadi Yazid, S.T., M.Sc., Ph.D.</t>
  </si>
  <si>
    <t>Rabu, 14:00 - 16:30</t>
  </si>
  <si>
    <t>Made Harta Dwijaksara, S.T., M.Sc., Ph.D.</t>
  </si>
  <si>
    <t>CSIM801024</t>
  </si>
  <si>
    <t>Metodologi Kajian Studi Kasus</t>
  </si>
  <si>
    <t>MKSK-2025F</t>
  </si>
  <si>
    <t>Rabu, 19:00 - 21:30</t>
  </si>
  <si>
    <t>CSIM801013</t>
  </si>
  <si>
    <t>Manajemen Data</t>
  </si>
  <si>
    <t>MD-2026SA</t>
  </si>
  <si>
    <t>Dr. Yova Ruldeviyani, S.Kom., M.Kom.</t>
  </si>
  <si>
    <t>Kamis, 14:00 - 16:30</t>
  </si>
  <si>
    <t>CSIM801021</t>
  </si>
  <si>
    <t>Manajemen Perubahan &amp; Proyek TI</t>
  </si>
  <si>
    <t>MPPTI-2025F</t>
  </si>
  <si>
    <t>Kamis, 19:00 - 21:30</t>
  </si>
  <si>
    <t>Dr. Teguh Raharjo, S.Kom., M.T.I.</t>
  </si>
  <si>
    <t>4202-L2RB (Kelas 2B)</t>
  </si>
  <si>
    <t>CSIM802024</t>
  </si>
  <si>
    <t>Manajemen Informasi Korporat</t>
  </si>
  <si>
    <t>MIK-2025SC</t>
  </si>
  <si>
    <t>Dr. Muhammad Rifki Shihab, B.B.A., M.Sc.</t>
  </si>
  <si>
    <t>Dr. Ir. Benny Ranti, M.Sc.</t>
  </si>
  <si>
    <t>CSIE802071</t>
  </si>
  <si>
    <t>Manajemen Pengetahuan</t>
  </si>
  <si>
    <t>MP-2025S</t>
  </si>
  <si>
    <t>Dr. Sofian Lusa, S.E., M.Kom.</t>
  </si>
  <si>
    <t>MIK-2025SA</t>
  </si>
  <si>
    <t>MIK-2025SB</t>
  </si>
  <si>
    <t>CSIE802072</t>
  </si>
  <si>
    <t>Pengelolaan Data Besar</t>
  </si>
  <si>
    <t>PDB-2025S</t>
  </si>
  <si>
    <t>Denny, S.Kom., M.I.T., Ph.D.</t>
  </si>
  <si>
    <t>4301-L3RA (Kelas 3A)</t>
  </si>
  <si>
    <t>CSIE802042</t>
  </si>
  <si>
    <t>Kewirausahaan Bisnis Perangkat Lunak</t>
  </si>
  <si>
    <t>KBPL-2025S</t>
  </si>
  <si>
    <t>Andreas Senjaya, S.Kom., M.A.B</t>
  </si>
  <si>
    <t>CSIE802073</t>
  </si>
  <si>
    <t>Analitika Media Sosial &amp; Digital</t>
  </si>
  <si>
    <t>ANMEDSOS-2025S</t>
  </si>
  <si>
    <t>AMANAH RAMADIAH, S.Kom., M.Sc., Ph.D.</t>
  </si>
  <si>
    <t>4302-L3RB (Kelas 3B)</t>
  </si>
  <si>
    <t>INTI-2026SC</t>
  </si>
  <si>
    <t>Ir. Adhi Yuniarto Laurentius Yohannes, M.Kom.</t>
  </si>
  <si>
    <t>MD-2026SC</t>
  </si>
  <si>
    <t>Prof. Dr. Achmad Nizar Hidayanto, S.Kom., M.Kom.</t>
  </si>
  <si>
    <t>AKPSI-2026SC</t>
  </si>
  <si>
    <t>SIP-2026SC</t>
  </si>
  <si>
    <t>4303-L3RC (Kelas 3C)</t>
  </si>
  <si>
    <t>CSIE802052</t>
  </si>
  <si>
    <t>Bisnis Digital</t>
  </si>
  <si>
    <t>BISDIG-2025S</t>
  </si>
  <si>
    <t>CSIE802061</t>
  </si>
  <si>
    <t>Tata Kelola TI</t>
  </si>
  <si>
    <t>TKTI-2025S</t>
  </si>
  <si>
    <t>Prof. Yudho Giri Sucahyo, S.Kom., M.Kom., Ph.D.</t>
  </si>
  <si>
    <t>CSIE802051</t>
  </si>
  <si>
    <t>Pemerintahan Cerdas</t>
  </si>
  <si>
    <t>PEMDAS-2025S</t>
  </si>
  <si>
    <t>CSIE802054</t>
  </si>
  <si>
    <t>Desain Antarmuka &amp; Pengalaman Peng.(UI/UX)</t>
  </si>
  <si>
    <t>DAPP-2025S</t>
  </si>
  <si>
    <t>Dr. Baginda Anggun Nan Cenka, S.Kom., M.Kom.</t>
  </si>
  <si>
    <t>4401-L4RA (Kelas 4A)</t>
  </si>
  <si>
    <t>AKPSI-2026SB</t>
  </si>
  <si>
    <t>SIP-2026SB</t>
  </si>
  <si>
    <t>INTI-2026SB</t>
  </si>
  <si>
    <t>MD-2026SB</t>
  </si>
  <si>
    <t>4402-L4RB (Kelas 4B)</t>
  </si>
  <si>
    <t>CSIE802081</t>
  </si>
  <si>
    <t>Keamanan Informasi</t>
  </si>
  <si>
    <t>KI-2025S</t>
  </si>
  <si>
    <t>CSIE802082</t>
  </si>
  <si>
    <t>Forensik Siber</t>
  </si>
  <si>
    <t>FORSIB-2025S</t>
  </si>
  <si>
    <t>CSIE802063</t>
  </si>
  <si>
    <t>Manajemen Risiko TI</t>
  </si>
  <si>
    <t>MANRISK-2025S</t>
  </si>
  <si>
    <t>Dr. Rizal Fathoni Aji, S.Kom., M.Kom.</t>
  </si>
  <si>
    <t>A1.09 (Ged Baru)</t>
  </si>
  <si>
    <t>UIGE600004</t>
  </si>
  <si>
    <t>01.00.12.01-2024</t>
  </si>
  <si>
    <t>MPK Agama</t>
  </si>
  <si>
    <t>Protestan B-Fasilkom</t>
  </si>
  <si>
    <t>Johanis Putratama Kamuri, M.Th.</t>
  </si>
  <si>
    <t>S1 - Ilmu Komputer</t>
  </si>
  <si>
    <t>Dr. Indri Jatmoko, M.M.</t>
  </si>
  <si>
    <t>CSCM602055</t>
  </si>
  <si>
    <t>Sistem Operasi</t>
  </si>
  <si>
    <t>Sistem Operasi B</t>
  </si>
  <si>
    <t>Muhammad Mishbah, S.Kom., M.Kom.</t>
  </si>
  <si>
    <t>CSCE604156</t>
  </si>
  <si>
    <t>Forensik Digital</t>
  </si>
  <si>
    <t>Digital Forensics</t>
  </si>
  <si>
    <t>Amril Syalim, S.Kom., M.Eng., Ph.D.</t>
  </si>
  <si>
    <t>CSCE604131</t>
  </si>
  <si>
    <t>Graf Pengetahuan</t>
  </si>
  <si>
    <t>Knowledge Graph</t>
  </si>
  <si>
    <t>Dr.rer.nat. Fariz Darari, S.Kom., M.Sc.</t>
  </si>
  <si>
    <t>CSCM601252</t>
  </si>
  <si>
    <t>Pengantar Organisasi Komputer</t>
  </si>
  <si>
    <t>POK</t>
  </si>
  <si>
    <t>Selasa, 15:00 - 16:40</t>
  </si>
  <si>
    <t>Rabu, 09:00 - 09:50</t>
  </si>
  <si>
    <t>Rabu, 14:00 - 15:40</t>
  </si>
  <si>
    <t>Kamis, 10:00 - 10:50</t>
  </si>
  <si>
    <t>CSCE604126</t>
  </si>
  <si>
    <t>Penjaminan Mutu Perangkat Lunak</t>
  </si>
  <si>
    <t>PMPL</t>
  </si>
  <si>
    <t>Daya Adianto, S.Kom., M.Kom.</t>
  </si>
  <si>
    <t>Kamis, 15:00 - 16:40</t>
  </si>
  <si>
    <t>A1.10 (Ged Baru)</t>
  </si>
  <si>
    <t>Katolik-Fasilkom</t>
  </si>
  <si>
    <t>Robertus Bambang Rudianto, S.Fil.</t>
  </si>
  <si>
    <t>CSCE604031</t>
  </si>
  <si>
    <t>Pengolahan Bahasa Manusia</t>
  </si>
  <si>
    <t>PBM</t>
  </si>
  <si>
    <t>Rahmad Mahendra, S.Kom., M.Sc., Ph.D.</t>
  </si>
  <si>
    <t>CSCM603125</t>
  </si>
  <si>
    <t>Rekayasa Perangkat Lunak</t>
  </si>
  <si>
    <t>RPL B</t>
  </si>
  <si>
    <t>Iis Solichah, S.Kom., M.Kom., M.Comp.Sc</t>
  </si>
  <si>
    <t>CSGE602040</t>
  </si>
  <si>
    <t>Struktur Data &amp; Algoritma</t>
  </si>
  <si>
    <t>SDA C</t>
  </si>
  <si>
    <t>Rabu, 10:00 - 10:50</t>
  </si>
  <si>
    <t>Rabu, 14:00 - 14:50</t>
  </si>
  <si>
    <t>CSGE603091</t>
  </si>
  <si>
    <t>06.00.12.01-2024</t>
  </si>
  <si>
    <t>Metodologi Penelitian &amp; Penulisan Ilmiah</t>
  </si>
  <si>
    <t>MPPI B</t>
  </si>
  <si>
    <t>Rabu, 15:00 - 16:40</t>
  </si>
  <si>
    <t>S1 - Sistem Informasi</t>
  </si>
  <si>
    <t>Dr. Yekti Wirani, S.T., M.T.I.</t>
  </si>
  <si>
    <t>CSAM601012</t>
  </si>
  <si>
    <t>10.00.12.01-2026</t>
  </si>
  <si>
    <t>Struktur Linear</t>
  </si>
  <si>
    <t>Alfan Farizki Wicaksono, S.T., M.Sc., Ph.D.</t>
  </si>
  <si>
    <t>S1 - Kecerdasan Artifisial</t>
  </si>
  <si>
    <t>CSGE601011</t>
  </si>
  <si>
    <t>Matematika Diskret 2</t>
  </si>
  <si>
    <t>MatDis 2</t>
  </si>
  <si>
    <t>Arlisa Yuliawati, S.Kom., M.Kom.</t>
  </si>
  <si>
    <t>Kamis, 15:00 - 15:50</t>
  </si>
  <si>
    <t>A1.51 (Ged Baru)</t>
  </si>
  <si>
    <t>CSCM602013</t>
  </si>
  <si>
    <t>Statistika dan Probabilitas</t>
  </si>
  <si>
    <t>StatProb C</t>
  </si>
  <si>
    <t>CSAM601010</t>
  </si>
  <si>
    <t>Logika dan Struktur Diskret</t>
  </si>
  <si>
    <t>Struktur Diskret</t>
  </si>
  <si>
    <t>Ari Saptawijaya, S.Kom., M.Sc., Ph.D.</t>
  </si>
  <si>
    <t>CSCE604278</t>
  </si>
  <si>
    <t>Pengelolaan Produk Digital</t>
  </si>
  <si>
    <t>PPD A</t>
  </si>
  <si>
    <t>Hana Fitriani, S.Kom., M.Sc.</t>
  </si>
  <si>
    <t>CSAM601011</t>
  </si>
  <si>
    <t>Kalkulus Univariat</t>
  </si>
  <si>
    <t>Adila Alfa Krisnadhi, S.Kom., M.Sc., Ph.D.</t>
  </si>
  <si>
    <t>CSGE601012</t>
  </si>
  <si>
    <t>Kalkulus 1</t>
  </si>
  <si>
    <t>Kalkulus 1 A</t>
  </si>
  <si>
    <t>Vektor Dewanto, S.T., M.Eng., Ph.D.</t>
  </si>
  <si>
    <t>Aruni Yasmin Azizah, S.Kom., M.Comp.Sc</t>
  </si>
  <si>
    <t>Kalkulus 1 F</t>
  </si>
  <si>
    <t>Selasa, 16:00 - 16:50</t>
  </si>
  <si>
    <t>CSCE604183</t>
  </si>
  <si>
    <t>Pengajaran Berbantuan Komputer</t>
  </si>
  <si>
    <t>PBK</t>
  </si>
  <si>
    <t>Rabu, 11:00 - 11:50</t>
  </si>
  <si>
    <t>Kamis, 11:00 - 11:50</t>
  </si>
  <si>
    <t>Kamis, 13:00 - 13:50</t>
  </si>
  <si>
    <t>CSIM102113</t>
  </si>
  <si>
    <t>Pengantar Statistika</t>
  </si>
  <si>
    <t>Pengstat A</t>
  </si>
  <si>
    <t>Dr. Fatimah Azzahro, S.Kom., M.Kom., M.Sc.</t>
  </si>
  <si>
    <t>A2.01 (Auditorium Ged baru)</t>
  </si>
  <si>
    <t>CSCM603154</t>
  </si>
  <si>
    <t>Jaringan Komputer</t>
  </si>
  <si>
    <t>JarKom A</t>
  </si>
  <si>
    <t>Dr. Ari Wibisono, S.Kom., M.Kom.</t>
  </si>
  <si>
    <t>CSIM603154</t>
  </si>
  <si>
    <t>Jaringan Komunikasi dan Data</t>
  </si>
  <si>
    <t>Jarkomdat A</t>
  </si>
  <si>
    <t>CSIM602155</t>
  </si>
  <si>
    <t>Pengantar Sistem Operasi</t>
  </si>
  <si>
    <t>PSO A</t>
  </si>
  <si>
    <t>Heri Kurniawan, S.Kom., M.Kom.</t>
  </si>
  <si>
    <t>CSIM603182</t>
  </si>
  <si>
    <t>Manajemen Sistem Informasi</t>
  </si>
  <si>
    <t>MSI</t>
  </si>
  <si>
    <t>Dr. Widia Resti Fitriani, S.Kom., M.Kom.</t>
  </si>
  <si>
    <t>Rabu, 15:00 - 15:50</t>
  </si>
  <si>
    <t>Jumat, 08:00 - 08:50</t>
  </si>
  <si>
    <t>Jumat, 09:00 - 09:50</t>
  </si>
  <si>
    <t>A2.01 (Auditorium Ged Baru-1)</t>
  </si>
  <si>
    <t>JarKom B</t>
  </si>
  <si>
    <t>Jarkomdat B</t>
  </si>
  <si>
    <t>Ibad Rahadian Saladdin, S.Kom., M.T.I.</t>
  </si>
  <si>
    <t>PSO B</t>
  </si>
  <si>
    <t>A2.06 (Ged Baru) --- Lab Laptop</t>
  </si>
  <si>
    <t>CSGE601021</t>
  </si>
  <si>
    <t>Dasar-Dasar Pemrograman 2</t>
  </si>
  <si>
    <t>DDP 2 A</t>
  </si>
  <si>
    <t>Dr. Ade Azurat, S.Kom.</t>
  </si>
  <si>
    <t>CSGE601020</t>
  </si>
  <si>
    <t>Dasar-Dasar Pemrograman 1</t>
  </si>
  <si>
    <t>DDP 1 B</t>
  </si>
  <si>
    <t>PSO C</t>
  </si>
  <si>
    <t>Drs. Lim Yohanes Stefanus, M.Math, Ph.D.</t>
  </si>
  <si>
    <t>CSCM603117</t>
  </si>
  <si>
    <t>Analisis Numerik</t>
  </si>
  <si>
    <t>Analisis Numerik B</t>
  </si>
  <si>
    <t>Muhammad Okky Ibrohim, S.Mat., M.Kom., Ph.D.</t>
  </si>
  <si>
    <t>CSCE604032</t>
  </si>
  <si>
    <t>Pemrosesan Bahasa Lisan</t>
  </si>
  <si>
    <t>PBL</t>
  </si>
  <si>
    <t>CSCE604045</t>
  </si>
  <si>
    <t>Geometri Komputasional</t>
  </si>
  <si>
    <t>Geometri Kom. (A)</t>
  </si>
  <si>
    <t>CSIM601251</t>
  </si>
  <si>
    <t>Dasar-Dasar Arsitektur Komputer</t>
  </si>
  <si>
    <t>DDAK</t>
  </si>
  <si>
    <t>Prof. Dr. Ir. Petrus Mursanto, M.Sc., IPU</t>
  </si>
  <si>
    <t>CSGE602022</t>
  </si>
  <si>
    <t>Pemrograman Berbasis Platform</t>
  </si>
  <si>
    <t>PBP C</t>
  </si>
  <si>
    <t>Arawinda Dinakaramani, S.Kom., M.Hum.</t>
  </si>
  <si>
    <t>Rabu, 16:00 - 17:40</t>
  </si>
  <si>
    <t>Kamis, 09:00 - 09:50</t>
  </si>
  <si>
    <t>Kamis, 14:00 - 14:50</t>
  </si>
  <si>
    <t>CSIE604163</t>
  </si>
  <si>
    <t>Manajemen Hubungan Pelanggan</t>
  </si>
  <si>
    <t>MHP B</t>
  </si>
  <si>
    <t>A2.07 (Ged baru)</t>
  </si>
  <si>
    <t>Buddha-Fasilkom</t>
  </si>
  <si>
    <t>Sim Mettasari Ishak, M.M.</t>
  </si>
  <si>
    <t>Soelijono, M.M.</t>
  </si>
  <si>
    <t>CSGE603130</t>
  </si>
  <si>
    <t>Kecerdasan Artifisial &amp; Sains Data Dasar</t>
  </si>
  <si>
    <t>KASDAD C</t>
  </si>
  <si>
    <t>KASDAD A</t>
  </si>
  <si>
    <t>Dr. Tusty Nadia Maghfira, S.Kom., M.Kom.</t>
  </si>
  <si>
    <t>Analisis Numerik A</t>
  </si>
  <si>
    <t>Meganingrum Arista Jiwanggi, S.Kom., M.Kom., M.Comp.Sc</t>
  </si>
  <si>
    <t>CSCM603142</t>
  </si>
  <si>
    <t>Desain &amp; Analisis Algoritma</t>
  </si>
  <si>
    <t>DAA C</t>
  </si>
  <si>
    <t>Ammar Fathin Sabili, S.Kom., Ph.D.</t>
  </si>
  <si>
    <t>CSCM603228</t>
  </si>
  <si>
    <t>Proyek Perangkat Lunak</t>
  </si>
  <si>
    <t>PPL A</t>
  </si>
  <si>
    <t>Selasa, 13:00 - 15:30</t>
  </si>
  <si>
    <t>Kamis, 13:00 - 15:30</t>
  </si>
  <si>
    <t>A2.08 (Ged Baru)</t>
  </si>
  <si>
    <t>Islam-Fasilkom D</t>
  </si>
  <si>
    <t>Soraya, M.Hum.</t>
  </si>
  <si>
    <t>CSCE604128</t>
  </si>
  <si>
    <t>Teknik Kompilator</t>
  </si>
  <si>
    <t>Prof. Heru Suhartanto, M.Sc., Ph.D.</t>
  </si>
  <si>
    <t>DAA A</t>
  </si>
  <si>
    <t>DAA B</t>
  </si>
  <si>
    <t>Dr. Drs. R. Yugo Kartono Isal, M.Sc.</t>
  </si>
  <si>
    <t>CSIE604279</t>
  </si>
  <si>
    <t>Pembangunan TIK untuk Negara Berkembang</t>
  </si>
  <si>
    <t>ICTD A</t>
  </si>
  <si>
    <t>Nandhita Zefania Maharani, M.Kom.</t>
  </si>
  <si>
    <t>CSGE602070</t>
  </si>
  <si>
    <t>Basis Data</t>
  </si>
  <si>
    <t>Basis Data B</t>
  </si>
  <si>
    <t>Ilma Alpha Mannix, M.Kom.</t>
  </si>
  <si>
    <t>CSIE604161</t>
  </si>
  <si>
    <t>Kesehatan Elektronik</t>
  </si>
  <si>
    <t>Prof. Dr. Putu Wuri Handayani, S.Kom., M.Sc.</t>
  </si>
  <si>
    <t>CSCE604029</t>
  </si>
  <si>
    <t>Topik Khusus Ilmu Komputer</t>
  </si>
  <si>
    <t>Computer Graphics</t>
  </si>
  <si>
    <t>Dr.-Ing. Ikhsanul Habibie, S.Kom., M.Sc.</t>
  </si>
  <si>
    <t>Jumat, 15:00 - 16:40</t>
  </si>
  <si>
    <t>A2.09 (Ged Baru)</t>
  </si>
  <si>
    <t>CSGE614093</t>
  </si>
  <si>
    <t>Komputer &amp; Masyarakat</t>
  </si>
  <si>
    <t>Komas C</t>
  </si>
  <si>
    <t>Komas D</t>
  </si>
  <si>
    <t>KASDAD B</t>
  </si>
  <si>
    <t>Dr. Siti Aminah, S.Kom., M.Kom.</t>
  </si>
  <si>
    <t>PBP E</t>
  </si>
  <si>
    <t>CSIM603183</t>
  </si>
  <si>
    <t>Analisis dan Perancangan Sistem Informasi</t>
  </si>
  <si>
    <t>Anaperancis D</t>
  </si>
  <si>
    <t>Dr. Nabila Clydea Harahap, S.Kom., M.Kom.</t>
  </si>
  <si>
    <t>Analisis Numerik C</t>
  </si>
  <si>
    <t>CSIE604262</t>
  </si>
  <si>
    <t>Manajemen Proses Bisnis</t>
  </si>
  <si>
    <t>Manprobis</t>
  </si>
  <si>
    <t>Annisa Monicha Sari, S.Kom., M.Kom.</t>
  </si>
  <si>
    <t>Kalkulus 1 H</t>
  </si>
  <si>
    <t>Rabu, 08:00 - 08:50</t>
  </si>
  <si>
    <t>A2.51 (Ged Baru)</t>
  </si>
  <si>
    <t>Islam-Fasilkom G</t>
  </si>
  <si>
    <t>Ulin Nuha, M.A.</t>
  </si>
  <si>
    <t>CSIM601190</t>
  </si>
  <si>
    <t>Manajemen Bisnis</t>
  </si>
  <si>
    <t>Manajemen Bisnis B</t>
  </si>
  <si>
    <t>Manajemen Bisnis C</t>
  </si>
  <si>
    <t>CSIM601191</t>
  </si>
  <si>
    <t>Komunikasi Bisnis dan Teknis</t>
  </si>
  <si>
    <t>Kombistek A</t>
  </si>
  <si>
    <t>Shabrina Salsabila Kurniawan, M.Kom.</t>
  </si>
  <si>
    <t>Kalkulus 1 E</t>
  </si>
  <si>
    <t>Kalkulus 1 C</t>
  </si>
  <si>
    <t>Kombistek D</t>
  </si>
  <si>
    <t>Kamis, 08:00 - 08:50</t>
  </si>
  <si>
    <t>A3.05 (Ged Baru)</t>
  </si>
  <si>
    <t>Komas B</t>
  </si>
  <si>
    <t>Widijanto Satyo Nugroho, Ph.D.</t>
  </si>
  <si>
    <t>Komas A</t>
  </si>
  <si>
    <t>CSCM601150</t>
  </si>
  <si>
    <t>Pengantar Sistem Digital</t>
  </si>
  <si>
    <t>PSD A</t>
  </si>
  <si>
    <t>CSCE604123</t>
  </si>
  <si>
    <t>Pemrograman Fungsional</t>
  </si>
  <si>
    <t>Functional Prog.</t>
  </si>
  <si>
    <t>CSGE601010</t>
  </si>
  <si>
    <t>Matematika Diskret 1</t>
  </si>
  <si>
    <t>MatDis 1-A</t>
  </si>
  <si>
    <t>Dr. Dina Chahyati, S.Kom., M.Kom.</t>
  </si>
  <si>
    <t>MatDis 1-G</t>
  </si>
  <si>
    <t>A3.06 (Ged Baru)</t>
  </si>
  <si>
    <t>Islam-Fasilkom C</t>
  </si>
  <si>
    <t>Muhammad Yusuf, M.Si.</t>
  </si>
  <si>
    <t>DDP 1 A</t>
  </si>
  <si>
    <t>DDP 1 I</t>
  </si>
  <si>
    <t>MHP A</t>
  </si>
  <si>
    <t>Kalkulus 1 B</t>
  </si>
  <si>
    <t>PPD B</t>
  </si>
  <si>
    <t>Puspa Indahati Sandhyaduhita, S.T., M.Sc., Ph.D.</t>
  </si>
  <si>
    <t>Selasa, 15:00 - 15:50</t>
  </si>
  <si>
    <t>CSIE604284</t>
  </si>
  <si>
    <t>Analitika Media Sosial</t>
  </si>
  <si>
    <t>Anmedsos</t>
  </si>
  <si>
    <t>Satrio Baskoro Yudhoatmojo, S.Kom., M.T.I., Ph.D.</t>
  </si>
  <si>
    <t>Kamis, 14:00 - 15:40</t>
  </si>
  <si>
    <t>Kamis, 16:00 - 16:50</t>
  </si>
  <si>
    <t>A3.54 (Ged Baru)</t>
  </si>
  <si>
    <t>Islam-Fasilkom J</t>
  </si>
  <si>
    <t>Dr. Iif Fikriyati Ihsani, M.A.</t>
  </si>
  <si>
    <t>CSIE604273</t>
  </si>
  <si>
    <t>PDB</t>
  </si>
  <si>
    <t>APRINALDI, S.Kom., M.Kom., Ph.D.</t>
  </si>
  <si>
    <t>MatDis 1-D</t>
  </si>
  <si>
    <t>MatDis 1-B</t>
  </si>
  <si>
    <t>Jumat, 08:00 - 09:50</t>
  </si>
  <si>
    <t>CSIE604160</t>
  </si>
  <si>
    <t>E-Dagang</t>
  </si>
  <si>
    <t>E-Dagang A</t>
  </si>
  <si>
    <t>Jumat, 16:00 - 16:50</t>
  </si>
  <si>
    <t>A5.03 (Ged Baru)</t>
  </si>
  <si>
    <t>Islam-Fasilkom I</t>
  </si>
  <si>
    <t>Sardi Mustaupa, M.M.</t>
  </si>
  <si>
    <t>Pengstat B</t>
  </si>
  <si>
    <t>CSIE604181</t>
  </si>
  <si>
    <t>Dasar-Dasar Audit SI</t>
  </si>
  <si>
    <t>DDASI</t>
  </si>
  <si>
    <t>Dr. Ave Adriana Pinem, S.Kom., M.Kom.</t>
  </si>
  <si>
    <t>MatDis 1-C</t>
  </si>
  <si>
    <t>MatDis 1-H</t>
  </si>
  <si>
    <t>Jumat, 09:00 - 10:40</t>
  </si>
  <si>
    <t>A5.51 (Ged Baru)</t>
  </si>
  <si>
    <t>Pengstat C</t>
  </si>
  <si>
    <t>Kamila Alifia Imanuddin, M.T.I.</t>
  </si>
  <si>
    <t>E-Dagang B</t>
  </si>
  <si>
    <t>MatDis 1-E</t>
  </si>
  <si>
    <t>Dr. Ika Alfina, S.Kom., M.Kom.</t>
  </si>
  <si>
    <t>MatDis 1-F</t>
  </si>
  <si>
    <t>A6.01 (Ged Baru)</t>
  </si>
  <si>
    <t>Islam-Fasilkom H</t>
  </si>
  <si>
    <t>Chairul Anam, S.Ag., S.H., M.H.</t>
  </si>
  <si>
    <t>DDP 1 H</t>
  </si>
  <si>
    <t>Lulu Ilmaknun Qurotaini, M.DataSc</t>
  </si>
  <si>
    <t>Ichlasul Affan, S.Kom., M.Kom.</t>
  </si>
  <si>
    <t>DDP 1 G</t>
  </si>
  <si>
    <t>Muhammad Febrian Rachmadi, S.Kom., M.Sc., Ph.D.</t>
  </si>
  <si>
    <t>Anaperancis C</t>
  </si>
  <si>
    <t>Anaperancis A</t>
  </si>
  <si>
    <t>CSIM603229</t>
  </si>
  <si>
    <t>Proyek Pengembangan Sistem Informasi</t>
  </si>
  <si>
    <t>Propensi A</t>
  </si>
  <si>
    <t>Selasa, 13:00 - 15:00</t>
  </si>
  <si>
    <t>Kalkulus 1 G</t>
  </si>
  <si>
    <t>MPPI A</t>
  </si>
  <si>
    <t>Kamis, 13:00 - 15:00</t>
  </si>
  <si>
    <t>A6.02 (Ged Baru)</t>
  </si>
  <si>
    <t>DDP 2 B</t>
  </si>
  <si>
    <t>Ilma Ainur Rohma, S.Kom., M.Kom.</t>
  </si>
  <si>
    <t>DDP 1 D</t>
  </si>
  <si>
    <t>Iis Afriyanti, S.Kom., M.Sc.</t>
  </si>
  <si>
    <t>PBP B</t>
  </si>
  <si>
    <t>Jessica Naraiswari Arwidarasti, S.Kom., M.Kom.</t>
  </si>
  <si>
    <t>PBP A</t>
  </si>
  <si>
    <t>CSIM603026</t>
  </si>
  <si>
    <t>Arsitektur &amp; Pemrograman Aplikasi Perush.</t>
  </si>
  <si>
    <t>APAP A</t>
  </si>
  <si>
    <t>I Putu Edy Suardiyana Putra, S.Kom., M.Kom., Ph.D.</t>
  </si>
  <si>
    <t>Anaperancis B</t>
  </si>
  <si>
    <t>CSCE604133</t>
  </si>
  <si>
    <t>Computer Vision</t>
  </si>
  <si>
    <t>Computer Vision A</t>
  </si>
  <si>
    <t>CSIM602281</t>
  </si>
  <si>
    <t>Manajemen Proyek Teknologi Informasi</t>
  </si>
  <si>
    <t>Manpro TI</t>
  </si>
  <si>
    <t>Selasa, 16:00 - 17:40</t>
  </si>
  <si>
    <t>StatProb A</t>
  </si>
  <si>
    <t>A6.07 (Ged Baru)</t>
  </si>
  <si>
    <t>Islam-Fasilkom A</t>
  </si>
  <si>
    <t>Dr. Eneng Ervi Siti Zahroh Zidni, M.Si.</t>
  </si>
  <si>
    <t>PSD B</t>
  </si>
  <si>
    <t>Dr. Ir. Erdefi Rakun, M.Sc.</t>
  </si>
  <si>
    <t>PSD C</t>
  </si>
  <si>
    <t>CSCM601213</t>
  </si>
  <si>
    <t>Kalkulus 2</t>
  </si>
  <si>
    <t>Kalkulus 2 A</t>
  </si>
  <si>
    <t>Prof. Drs. T. Basaruddin, M.Sc., Ph.D.</t>
  </si>
  <si>
    <t>SDA B</t>
  </si>
  <si>
    <t>LINTANG MATAHARI HASANI, S.Kom., M.Kom., Ph.D.</t>
  </si>
  <si>
    <t>SDA D</t>
  </si>
  <si>
    <t>StatProb B</t>
  </si>
  <si>
    <t>A6.08 (Ged Baru)</t>
  </si>
  <si>
    <t>Islam-Fasilkom B</t>
  </si>
  <si>
    <t>Moch. Musoffa, M.H.</t>
  </si>
  <si>
    <t>DDP 1 E</t>
  </si>
  <si>
    <t>DDP 1 C</t>
  </si>
  <si>
    <t>APAP C</t>
  </si>
  <si>
    <t>APAP B</t>
  </si>
  <si>
    <t>Computer Vision B</t>
  </si>
  <si>
    <t>CSCE604174</t>
  </si>
  <si>
    <t>Basis Data Lanjut</t>
  </si>
  <si>
    <t>Banjut A</t>
  </si>
  <si>
    <t>Hendrie Gunawan, S.Kom., M.S.M.</t>
  </si>
  <si>
    <t>CSIE604285</t>
  </si>
  <si>
    <t>Sistem Informasi Sumber Daya Manusia</t>
  </si>
  <si>
    <t>SISDM A</t>
  </si>
  <si>
    <t>CSGE602012</t>
  </si>
  <si>
    <t>Aljabar Linier</t>
  </si>
  <si>
    <t>Alin D</t>
  </si>
  <si>
    <t>A6.09 (Ged Baru)</t>
  </si>
  <si>
    <t>Islam-Fasilkom E</t>
  </si>
  <si>
    <t>Dr. Subur Wijaya, M.Pd.</t>
  </si>
  <si>
    <t>Pengstat D</t>
  </si>
  <si>
    <t>Larastri Kumaralalita, S.Kom., M.Sc., Ph.D.</t>
  </si>
  <si>
    <t>DDP 1 F</t>
  </si>
  <si>
    <t>SDA E</t>
  </si>
  <si>
    <t>Ir. Suryana Setiawan, M.Sc., Ph.D.</t>
  </si>
  <si>
    <t>SDA F</t>
  </si>
  <si>
    <t>Basis Data A</t>
  </si>
  <si>
    <t>Alin B</t>
  </si>
  <si>
    <t>A6.10 (Ged Baru)</t>
  </si>
  <si>
    <t>Sistem Operasi A</t>
  </si>
  <si>
    <t>Sistem Operasi C</t>
  </si>
  <si>
    <t>PBP D</t>
  </si>
  <si>
    <t>PBP F</t>
  </si>
  <si>
    <t>Alin A</t>
  </si>
  <si>
    <t>SISDM B</t>
  </si>
  <si>
    <t>A6.11 (Ged Baru)</t>
  </si>
  <si>
    <t>Protestan A-Fasilkom</t>
  </si>
  <si>
    <t>Robert Porhas Tobing, M.B.A.</t>
  </si>
  <si>
    <t>RPL A</t>
  </si>
  <si>
    <t>Dr. Maya Retno Ayu Setyautami, S.Kom., M.Kom.</t>
  </si>
  <si>
    <t>RPL C</t>
  </si>
  <si>
    <t>Alin C</t>
  </si>
  <si>
    <t>CSCE604180</t>
  </si>
  <si>
    <t>Pemasaran Media Digital</t>
  </si>
  <si>
    <t>PMD</t>
  </si>
  <si>
    <t>SDA A</t>
  </si>
  <si>
    <t>ICTD B</t>
  </si>
  <si>
    <t>Jumat, 10:00 - 10:50</t>
  </si>
  <si>
    <t>A6.12 (Ged Baru)</t>
  </si>
  <si>
    <t>CSCE604111</t>
  </si>
  <si>
    <t>Simulasi &amp; Pemodelan</t>
  </si>
  <si>
    <t>Selasa, 10:00 - 11:50</t>
  </si>
  <si>
    <t>CSCE604172</t>
  </si>
  <si>
    <t>Komputasi Awan</t>
  </si>
  <si>
    <t>A7.12 (Ged Baru)</t>
  </si>
  <si>
    <t>CSGE602091</t>
  </si>
  <si>
    <t>02.00.12.01-2024</t>
  </si>
  <si>
    <t>Scientific Writing</t>
  </si>
  <si>
    <t>S1 Kls Internasional - Ilmu Komputer</t>
  </si>
  <si>
    <t>Numerical Analysis</t>
  </si>
  <si>
    <t>Soft Eng Project</t>
  </si>
  <si>
    <t>CSGE602024</t>
  </si>
  <si>
    <t>Sistem Interaksi</t>
  </si>
  <si>
    <t>HCI</t>
  </si>
  <si>
    <t>A7.13 (Ged Baru)</t>
  </si>
  <si>
    <t>Islam-Fasilkom F</t>
  </si>
  <si>
    <t>Taufiq Nur Azis, M.Pd.</t>
  </si>
  <si>
    <t>Manajemen Bisnis A</t>
  </si>
  <si>
    <t>Manajemen Bisnis D</t>
  </si>
  <si>
    <t>Kombistek B</t>
  </si>
  <si>
    <t>Kalkulus 1 D</t>
  </si>
  <si>
    <t>Selasa, 13:00 - 14:50</t>
  </si>
  <si>
    <t>Kombistek C</t>
  </si>
  <si>
    <t>A7.14 (Ged Baru)</t>
  </si>
  <si>
    <t>Calculus 1</t>
  </si>
  <si>
    <t>Linear Algebra</t>
  </si>
  <si>
    <t>Senin, 13:00 - 13:40</t>
  </si>
  <si>
    <t>Discrete Math 1</t>
  </si>
  <si>
    <t>IDS</t>
  </si>
  <si>
    <t>Prog Found 1</t>
  </si>
  <si>
    <t>A7.15 (Ged Baru)</t>
  </si>
  <si>
    <t>CSCM602241</t>
  </si>
  <si>
    <t>Teori Bahasa &amp; Automata</t>
  </si>
  <si>
    <t>Automata</t>
  </si>
  <si>
    <t>PBP</t>
  </si>
  <si>
    <t>Database</t>
  </si>
  <si>
    <t>Statistics &amp; Prob</t>
  </si>
  <si>
    <t>Rabu, 09:00 - 10:40</t>
  </si>
  <si>
    <t>OS</t>
  </si>
  <si>
    <t>Lab.1101/1103 --- PC 46</t>
  </si>
  <si>
    <t>Lab.1105 --- PC 24</t>
  </si>
  <si>
    <t>Lab.1107/1109 --- PC 34</t>
  </si>
  <si>
    <t>Lab A1.01+Lab A1.02 - Gabungan (Gd Baru)</t>
  </si>
  <si>
    <t>Selasa, 13:00 - 13:50</t>
  </si>
  <si>
    <t>Jumat, 10:00 - 11:00</t>
  </si>
  <si>
    <t>Lab A1.03 (Ged Baru)</t>
  </si>
  <si>
    <t>Lab A1.04+Lab A3.02 - Gabungan (Gd. Baru</t>
  </si>
  <si>
    <t>Lab A3.02 (Gd. Baru) --- PC 45</t>
  </si>
  <si>
    <t>CSCE604151</t>
  </si>
  <si>
    <t>Sistem Tertanam</t>
  </si>
  <si>
    <t>No</t>
  </si>
  <si>
    <t>Ruang</t>
  </si>
  <si>
    <t>Kapasitas</t>
  </si>
  <si>
    <t>Peserta</t>
  </si>
  <si>
    <t>Kode MK</t>
  </si>
  <si>
    <t>Kurikulum</t>
  </si>
  <si>
    <t>Nama MK</t>
  </si>
  <si>
    <t>Nama Kelas</t>
  </si>
  <si>
    <t>Dosen</t>
  </si>
  <si>
    <t>Waktu</t>
  </si>
  <si>
    <t>Program Studi</t>
  </si>
  <si>
    <t>Jam</t>
  </si>
  <si>
    <t>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</si>
</sst>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lcm.ui.ac.id/akademik/schedule/room-usage-report" TargetMode="External"/><Relationship Id="rId299" Type="http://schemas.openxmlformats.org/officeDocument/2006/relationships/hyperlink" Target="https://slcm.ui.ac.id/akademik/schedule/room-usage-report" TargetMode="External"/><Relationship Id="rId21" Type="http://schemas.openxmlformats.org/officeDocument/2006/relationships/hyperlink" Target="https://slcm.ui.ac.id/akademik/schedule/room-usage-report" TargetMode="External"/><Relationship Id="rId63" Type="http://schemas.openxmlformats.org/officeDocument/2006/relationships/hyperlink" Target="https://slcm.ui.ac.id/akademik/schedule/room-usage-report" TargetMode="External"/><Relationship Id="rId159" Type="http://schemas.openxmlformats.org/officeDocument/2006/relationships/hyperlink" Target="https://slcm.ui.ac.id/akademik/schedule/room-usage-report" TargetMode="External"/><Relationship Id="rId324" Type="http://schemas.openxmlformats.org/officeDocument/2006/relationships/hyperlink" Target="https://slcm.ui.ac.id/akademik/schedule/room-usage-report" TargetMode="External"/><Relationship Id="rId366" Type="http://schemas.openxmlformats.org/officeDocument/2006/relationships/hyperlink" Target="https://slcm.ui.ac.id/akademik/schedule/room-usage-report" TargetMode="External"/><Relationship Id="rId170" Type="http://schemas.openxmlformats.org/officeDocument/2006/relationships/hyperlink" Target="https://slcm.ui.ac.id/akademik/schedule/room-usage-report" TargetMode="External"/><Relationship Id="rId226" Type="http://schemas.openxmlformats.org/officeDocument/2006/relationships/hyperlink" Target="https://slcm.ui.ac.id/akademik/schedule/room-usage-report" TargetMode="External"/><Relationship Id="rId433" Type="http://schemas.openxmlformats.org/officeDocument/2006/relationships/hyperlink" Target="https://slcm.ui.ac.id/akademik/schedule/room-usage-report" TargetMode="External"/><Relationship Id="rId268" Type="http://schemas.openxmlformats.org/officeDocument/2006/relationships/hyperlink" Target="https://slcm.ui.ac.id/akademik/schedule/room-usage-report" TargetMode="External"/><Relationship Id="rId32" Type="http://schemas.openxmlformats.org/officeDocument/2006/relationships/hyperlink" Target="https://slcm.ui.ac.id/akademik/schedule/room-usage-report" TargetMode="External"/><Relationship Id="rId74" Type="http://schemas.openxmlformats.org/officeDocument/2006/relationships/hyperlink" Target="https://slcm.ui.ac.id/akademik/schedule/room-usage-report" TargetMode="External"/><Relationship Id="rId128" Type="http://schemas.openxmlformats.org/officeDocument/2006/relationships/hyperlink" Target="https://slcm.ui.ac.id/akademik/schedule/room-usage-report" TargetMode="External"/><Relationship Id="rId335" Type="http://schemas.openxmlformats.org/officeDocument/2006/relationships/hyperlink" Target="https://slcm.ui.ac.id/akademik/schedule/room-usage-report" TargetMode="External"/><Relationship Id="rId377" Type="http://schemas.openxmlformats.org/officeDocument/2006/relationships/hyperlink" Target="https://slcm.ui.ac.id/akademik/schedule/room-usage-report" TargetMode="External"/><Relationship Id="rId5" Type="http://schemas.openxmlformats.org/officeDocument/2006/relationships/hyperlink" Target="https://slcm.ui.ac.id/akademik/schedule/room-usage-report" TargetMode="External"/><Relationship Id="rId181" Type="http://schemas.openxmlformats.org/officeDocument/2006/relationships/hyperlink" Target="https://slcm.ui.ac.id/akademik/schedule/room-usage-report" TargetMode="External"/><Relationship Id="rId237" Type="http://schemas.openxmlformats.org/officeDocument/2006/relationships/hyperlink" Target="https://slcm.ui.ac.id/akademik/schedule/room-usage-report" TargetMode="External"/><Relationship Id="rId402" Type="http://schemas.openxmlformats.org/officeDocument/2006/relationships/hyperlink" Target="https://slcm.ui.ac.id/akademik/schedule/room-usage-report" TargetMode="External"/><Relationship Id="rId279" Type="http://schemas.openxmlformats.org/officeDocument/2006/relationships/hyperlink" Target="https://slcm.ui.ac.id/akademik/schedule/room-usage-report" TargetMode="External"/><Relationship Id="rId444" Type="http://schemas.openxmlformats.org/officeDocument/2006/relationships/hyperlink" Target="https://slcm.ui.ac.id/akademik/schedule/room-usage-report" TargetMode="External"/><Relationship Id="rId43" Type="http://schemas.openxmlformats.org/officeDocument/2006/relationships/hyperlink" Target="https://slcm.ui.ac.id/akademik/schedule/room-usage-report" TargetMode="External"/><Relationship Id="rId139" Type="http://schemas.openxmlformats.org/officeDocument/2006/relationships/hyperlink" Target="https://slcm.ui.ac.id/akademik/schedule/room-usage-report" TargetMode="External"/><Relationship Id="rId290" Type="http://schemas.openxmlformats.org/officeDocument/2006/relationships/hyperlink" Target="https://slcm.ui.ac.id/akademik/schedule/room-usage-report" TargetMode="External"/><Relationship Id="rId304" Type="http://schemas.openxmlformats.org/officeDocument/2006/relationships/hyperlink" Target="https://slcm.ui.ac.id/akademik/schedule/room-usage-report" TargetMode="External"/><Relationship Id="rId346" Type="http://schemas.openxmlformats.org/officeDocument/2006/relationships/hyperlink" Target="https://slcm.ui.ac.id/akademik/schedule/room-usage-report" TargetMode="External"/><Relationship Id="rId388" Type="http://schemas.openxmlformats.org/officeDocument/2006/relationships/hyperlink" Target="https://slcm.ui.ac.id/akademik/schedule/room-usage-report" TargetMode="External"/><Relationship Id="rId85" Type="http://schemas.openxmlformats.org/officeDocument/2006/relationships/hyperlink" Target="https://slcm.ui.ac.id/akademik/schedule/room-usage-report" TargetMode="External"/><Relationship Id="rId150" Type="http://schemas.openxmlformats.org/officeDocument/2006/relationships/hyperlink" Target="https://slcm.ui.ac.id/akademik/schedule/room-usage-report" TargetMode="External"/><Relationship Id="rId192" Type="http://schemas.openxmlformats.org/officeDocument/2006/relationships/hyperlink" Target="https://slcm.ui.ac.id/akademik/schedule/room-usage-report" TargetMode="External"/><Relationship Id="rId206" Type="http://schemas.openxmlformats.org/officeDocument/2006/relationships/hyperlink" Target="https://slcm.ui.ac.id/akademik/schedule/room-usage-report" TargetMode="External"/><Relationship Id="rId413" Type="http://schemas.openxmlformats.org/officeDocument/2006/relationships/hyperlink" Target="https://slcm.ui.ac.id/akademik/schedule/room-usage-report" TargetMode="External"/><Relationship Id="rId248" Type="http://schemas.openxmlformats.org/officeDocument/2006/relationships/hyperlink" Target="https://slcm.ui.ac.id/akademik/schedule/room-usage-report" TargetMode="External"/><Relationship Id="rId12" Type="http://schemas.openxmlformats.org/officeDocument/2006/relationships/hyperlink" Target="https://slcm.ui.ac.id/akademik/schedule/room-usage-report" TargetMode="External"/><Relationship Id="rId108" Type="http://schemas.openxmlformats.org/officeDocument/2006/relationships/hyperlink" Target="https://slcm.ui.ac.id/akademik/schedule/room-usage-report" TargetMode="External"/><Relationship Id="rId315" Type="http://schemas.openxmlformats.org/officeDocument/2006/relationships/hyperlink" Target="https://slcm.ui.ac.id/akademik/schedule/room-usage-report" TargetMode="External"/><Relationship Id="rId357" Type="http://schemas.openxmlformats.org/officeDocument/2006/relationships/hyperlink" Target="https://slcm.ui.ac.id/akademik/schedule/room-usage-report" TargetMode="External"/><Relationship Id="rId54" Type="http://schemas.openxmlformats.org/officeDocument/2006/relationships/hyperlink" Target="https://slcm.ui.ac.id/akademik/schedule/room-usage-report" TargetMode="External"/><Relationship Id="rId96" Type="http://schemas.openxmlformats.org/officeDocument/2006/relationships/hyperlink" Target="https://slcm.ui.ac.id/akademik/schedule/room-usage-report" TargetMode="External"/><Relationship Id="rId161" Type="http://schemas.openxmlformats.org/officeDocument/2006/relationships/hyperlink" Target="https://slcm.ui.ac.id/akademik/schedule/room-usage-report" TargetMode="External"/><Relationship Id="rId217" Type="http://schemas.openxmlformats.org/officeDocument/2006/relationships/hyperlink" Target="https://slcm.ui.ac.id/akademik/schedule/room-usage-report" TargetMode="External"/><Relationship Id="rId399" Type="http://schemas.openxmlformats.org/officeDocument/2006/relationships/hyperlink" Target="https://slcm.ui.ac.id/akademik/schedule/room-usage-report" TargetMode="External"/><Relationship Id="rId259" Type="http://schemas.openxmlformats.org/officeDocument/2006/relationships/hyperlink" Target="https://slcm.ui.ac.id/akademik/schedule/room-usage-report" TargetMode="External"/><Relationship Id="rId424" Type="http://schemas.openxmlformats.org/officeDocument/2006/relationships/hyperlink" Target="https://slcm.ui.ac.id/akademik/schedule/room-usage-report" TargetMode="External"/><Relationship Id="rId23" Type="http://schemas.openxmlformats.org/officeDocument/2006/relationships/hyperlink" Target="https://slcm.ui.ac.id/akademik/schedule/room-usage-report" TargetMode="External"/><Relationship Id="rId119" Type="http://schemas.openxmlformats.org/officeDocument/2006/relationships/hyperlink" Target="https://slcm.ui.ac.id/akademik/schedule/room-usage-report" TargetMode="External"/><Relationship Id="rId270" Type="http://schemas.openxmlformats.org/officeDocument/2006/relationships/hyperlink" Target="https://slcm.ui.ac.id/akademik/schedule/room-usage-report" TargetMode="External"/><Relationship Id="rId326" Type="http://schemas.openxmlformats.org/officeDocument/2006/relationships/hyperlink" Target="https://slcm.ui.ac.id/akademik/schedule/room-usage-report" TargetMode="External"/><Relationship Id="rId65" Type="http://schemas.openxmlformats.org/officeDocument/2006/relationships/hyperlink" Target="https://slcm.ui.ac.id/akademik/schedule/room-usage-report" TargetMode="External"/><Relationship Id="rId130" Type="http://schemas.openxmlformats.org/officeDocument/2006/relationships/hyperlink" Target="https://slcm.ui.ac.id/akademik/schedule/room-usage-report" TargetMode="External"/><Relationship Id="rId368" Type="http://schemas.openxmlformats.org/officeDocument/2006/relationships/hyperlink" Target="https://slcm.ui.ac.id/akademik/schedule/room-usage-report" TargetMode="External"/><Relationship Id="rId172" Type="http://schemas.openxmlformats.org/officeDocument/2006/relationships/hyperlink" Target="https://slcm.ui.ac.id/akademik/schedule/room-usage-report" TargetMode="External"/><Relationship Id="rId228" Type="http://schemas.openxmlformats.org/officeDocument/2006/relationships/hyperlink" Target="https://slcm.ui.ac.id/akademik/schedule/room-usage-report" TargetMode="External"/><Relationship Id="rId435" Type="http://schemas.openxmlformats.org/officeDocument/2006/relationships/hyperlink" Target="https://slcm.ui.ac.id/akademik/schedule/room-usage-report" TargetMode="External"/><Relationship Id="rId281" Type="http://schemas.openxmlformats.org/officeDocument/2006/relationships/hyperlink" Target="https://slcm.ui.ac.id/akademik/schedule/room-usage-report" TargetMode="External"/><Relationship Id="rId337" Type="http://schemas.openxmlformats.org/officeDocument/2006/relationships/hyperlink" Target="https://slcm.ui.ac.id/akademik/schedule/room-usage-report" TargetMode="External"/><Relationship Id="rId34" Type="http://schemas.openxmlformats.org/officeDocument/2006/relationships/hyperlink" Target="https://slcm.ui.ac.id/akademik/schedule/room-usage-report" TargetMode="External"/><Relationship Id="rId76" Type="http://schemas.openxmlformats.org/officeDocument/2006/relationships/hyperlink" Target="https://slcm.ui.ac.id/akademik/schedule/room-usage-report" TargetMode="External"/><Relationship Id="rId141" Type="http://schemas.openxmlformats.org/officeDocument/2006/relationships/hyperlink" Target="https://slcm.ui.ac.id/akademik/schedule/room-usage-report" TargetMode="External"/><Relationship Id="rId379" Type="http://schemas.openxmlformats.org/officeDocument/2006/relationships/hyperlink" Target="https://slcm.ui.ac.id/akademik/schedule/room-usage-report" TargetMode="External"/><Relationship Id="rId7" Type="http://schemas.openxmlformats.org/officeDocument/2006/relationships/hyperlink" Target="https://slcm.ui.ac.id/akademik/schedule/room-usage-report" TargetMode="External"/><Relationship Id="rId183" Type="http://schemas.openxmlformats.org/officeDocument/2006/relationships/hyperlink" Target="https://slcm.ui.ac.id/akademik/schedule/room-usage-report" TargetMode="External"/><Relationship Id="rId239" Type="http://schemas.openxmlformats.org/officeDocument/2006/relationships/hyperlink" Target="https://slcm.ui.ac.id/akademik/schedule/room-usage-report" TargetMode="External"/><Relationship Id="rId390" Type="http://schemas.openxmlformats.org/officeDocument/2006/relationships/hyperlink" Target="https://slcm.ui.ac.id/akademik/schedule/room-usage-report" TargetMode="External"/><Relationship Id="rId404" Type="http://schemas.openxmlformats.org/officeDocument/2006/relationships/hyperlink" Target="https://slcm.ui.ac.id/akademik/schedule/room-usage-report" TargetMode="External"/><Relationship Id="rId446" Type="http://schemas.openxmlformats.org/officeDocument/2006/relationships/hyperlink" Target="https://slcm.ui.ac.id/akademik/schedule/room-usage-report" TargetMode="External"/><Relationship Id="rId250" Type="http://schemas.openxmlformats.org/officeDocument/2006/relationships/hyperlink" Target="https://slcm.ui.ac.id/akademik/schedule/room-usage-report" TargetMode="External"/><Relationship Id="rId292" Type="http://schemas.openxmlformats.org/officeDocument/2006/relationships/hyperlink" Target="https://slcm.ui.ac.id/akademik/schedule/room-usage-report" TargetMode="External"/><Relationship Id="rId306" Type="http://schemas.openxmlformats.org/officeDocument/2006/relationships/hyperlink" Target="https://slcm.ui.ac.id/akademik/schedule/room-usage-report" TargetMode="External"/><Relationship Id="rId45" Type="http://schemas.openxmlformats.org/officeDocument/2006/relationships/hyperlink" Target="https://slcm.ui.ac.id/akademik/schedule/room-usage-report" TargetMode="External"/><Relationship Id="rId87" Type="http://schemas.openxmlformats.org/officeDocument/2006/relationships/hyperlink" Target="https://slcm.ui.ac.id/akademik/schedule/room-usage-report" TargetMode="External"/><Relationship Id="rId110" Type="http://schemas.openxmlformats.org/officeDocument/2006/relationships/hyperlink" Target="https://slcm.ui.ac.id/akademik/schedule/room-usage-report" TargetMode="External"/><Relationship Id="rId348" Type="http://schemas.openxmlformats.org/officeDocument/2006/relationships/hyperlink" Target="https://slcm.ui.ac.id/akademik/schedule/room-usage-report" TargetMode="External"/><Relationship Id="rId152" Type="http://schemas.openxmlformats.org/officeDocument/2006/relationships/hyperlink" Target="https://slcm.ui.ac.id/akademik/schedule/room-usage-report" TargetMode="External"/><Relationship Id="rId194" Type="http://schemas.openxmlformats.org/officeDocument/2006/relationships/hyperlink" Target="https://slcm.ui.ac.id/akademik/schedule/room-usage-report" TargetMode="External"/><Relationship Id="rId208" Type="http://schemas.openxmlformats.org/officeDocument/2006/relationships/hyperlink" Target="https://slcm.ui.ac.id/akademik/schedule/room-usage-report" TargetMode="External"/><Relationship Id="rId415" Type="http://schemas.openxmlformats.org/officeDocument/2006/relationships/hyperlink" Target="https://slcm.ui.ac.id/akademik/schedule/room-usage-report" TargetMode="External"/><Relationship Id="rId261" Type="http://schemas.openxmlformats.org/officeDocument/2006/relationships/hyperlink" Target="https://slcm.ui.ac.id/akademik/schedule/room-usage-report" TargetMode="External"/><Relationship Id="rId14" Type="http://schemas.openxmlformats.org/officeDocument/2006/relationships/hyperlink" Target="https://slcm.ui.ac.id/akademik/schedule/room-usage-report" TargetMode="External"/><Relationship Id="rId56" Type="http://schemas.openxmlformats.org/officeDocument/2006/relationships/hyperlink" Target="https://slcm.ui.ac.id/akademik/schedule/room-usage-report" TargetMode="External"/><Relationship Id="rId317" Type="http://schemas.openxmlformats.org/officeDocument/2006/relationships/hyperlink" Target="https://slcm.ui.ac.id/akademik/schedule/room-usage-report" TargetMode="External"/><Relationship Id="rId359" Type="http://schemas.openxmlformats.org/officeDocument/2006/relationships/hyperlink" Target="https://slcm.ui.ac.id/akademik/schedule/room-usage-report" TargetMode="External"/><Relationship Id="rId98" Type="http://schemas.openxmlformats.org/officeDocument/2006/relationships/hyperlink" Target="https://slcm.ui.ac.id/akademik/schedule/room-usage-report" TargetMode="External"/><Relationship Id="rId121" Type="http://schemas.openxmlformats.org/officeDocument/2006/relationships/hyperlink" Target="https://slcm.ui.ac.id/akademik/schedule/room-usage-report" TargetMode="External"/><Relationship Id="rId163" Type="http://schemas.openxmlformats.org/officeDocument/2006/relationships/hyperlink" Target="https://slcm.ui.ac.id/akademik/schedule/room-usage-report" TargetMode="External"/><Relationship Id="rId219" Type="http://schemas.openxmlformats.org/officeDocument/2006/relationships/hyperlink" Target="https://slcm.ui.ac.id/akademik/schedule/room-usage-report" TargetMode="External"/><Relationship Id="rId370" Type="http://schemas.openxmlformats.org/officeDocument/2006/relationships/hyperlink" Target="https://slcm.ui.ac.id/akademik/schedule/room-usage-report" TargetMode="External"/><Relationship Id="rId426" Type="http://schemas.openxmlformats.org/officeDocument/2006/relationships/hyperlink" Target="https://slcm.ui.ac.id/akademik/schedule/room-usage-report" TargetMode="External"/><Relationship Id="rId230" Type="http://schemas.openxmlformats.org/officeDocument/2006/relationships/hyperlink" Target="https://slcm.ui.ac.id/akademik/schedule/room-usage-report" TargetMode="External"/><Relationship Id="rId25" Type="http://schemas.openxmlformats.org/officeDocument/2006/relationships/hyperlink" Target="https://slcm.ui.ac.id/akademik/schedule/room-usage-report" TargetMode="External"/><Relationship Id="rId67" Type="http://schemas.openxmlformats.org/officeDocument/2006/relationships/hyperlink" Target="https://slcm.ui.ac.id/akademik/schedule/room-usage-report" TargetMode="External"/><Relationship Id="rId272" Type="http://schemas.openxmlformats.org/officeDocument/2006/relationships/hyperlink" Target="https://slcm.ui.ac.id/akademik/schedule/room-usage-report" TargetMode="External"/><Relationship Id="rId328" Type="http://schemas.openxmlformats.org/officeDocument/2006/relationships/hyperlink" Target="https://slcm.ui.ac.id/akademik/schedule/room-usage-report" TargetMode="External"/><Relationship Id="rId132" Type="http://schemas.openxmlformats.org/officeDocument/2006/relationships/hyperlink" Target="https://slcm.ui.ac.id/akademik/schedule/room-usage-report" TargetMode="External"/><Relationship Id="rId174" Type="http://schemas.openxmlformats.org/officeDocument/2006/relationships/hyperlink" Target="https://slcm.ui.ac.id/akademik/schedule/room-usage-report" TargetMode="External"/><Relationship Id="rId381" Type="http://schemas.openxmlformats.org/officeDocument/2006/relationships/hyperlink" Target="https://slcm.ui.ac.id/akademik/schedule/room-usage-report" TargetMode="External"/><Relationship Id="rId241" Type="http://schemas.openxmlformats.org/officeDocument/2006/relationships/hyperlink" Target="https://slcm.ui.ac.id/akademik/schedule/room-usage-report" TargetMode="External"/><Relationship Id="rId437" Type="http://schemas.openxmlformats.org/officeDocument/2006/relationships/hyperlink" Target="https://slcm.ui.ac.id/akademik/schedule/room-usage-report" TargetMode="External"/><Relationship Id="rId36" Type="http://schemas.openxmlformats.org/officeDocument/2006/relationships/hyperlink" Target="https://slcm.ui.ac.id/akademik/schedule/room-usage-report" TargetMode="External"/><Relationship Id="rId283" Type="http://schemas.openxmlformats.org/officeDocument/2006/relationships/hyperlink" Target="https://slcm.ui.ac.id/akademik/schedule/room-usage-report" TargetMode="External"/><Relationship Id="rId339" Type="http://schemas.openxmlformats.org/officeDocument/2006/relationships/hyperlink" Target="https://slcm.ui.ac.id/akademik/schedule/room-usage-report" TargetMode="External"/><Relationship Id="rId78" Type="http://schemas.openxmlformats.org/officeDocument/2006/relationships/hyperlink" Target="https://slcm.ui.ac.id/akademik/schedule/room-usage-report" TargetMode="External"/><Relationship Id="rId101" Type="http://schemas.openxmlformats.org/officeDocument/2006/relationships/hyperlink" Target="https://slcm.ui.ac.id/akademik/schedule/room-usage-report" TargetMode="External"/><Relationship Id="rId143" Type="http://schemas.openxmlformats.org/officeDocument/2006/relationships/hyperlink" Target="https://slcm.ui.ac.id/akademik/schedule/room-usage-report" TargetMode="External"/><Relationship Id="rId185" Type="http://schemas.openxmlformats.org/officeDocument/2006/relationships/hyperlink" Target="https://slcm.ui.ac.id/akademik/schedule/room-usage-report" TargetMode="External"/><Relationship Id="rId350" Type="http://schemas.openxmlformats.org/officeDocument/2006/relationships/hyperlink" Target="https://slcm.ui.ac.id/akademik/schedule/room-usage-report" TargetMode="External"/><Relationship Id="rId406" Type="http://schemas.openxmlformats.org/officeDocument/2006/relationships/hyperlink" Target="https://slcm.ui.ac.id/akademik/schedule/room-usage-report" TargetMode="External"/><Relationship Id="rId9" Type="http://schemas.openxmlformats.org/officeDocument/2006/relationships/hyperlink" Target="https://slcm.ui.ac.id/akademik/schedule/room-usage-report" TargetMode="External"/><Relationship Id="rId210" Type="http://schemas.openxmlformats.org/officeDocument/2006/relationships/hyperlink" Target="https://slcm.ui.ac.id/akademik/schedule/room-usage-report" TargetMode="External"/><Relationship Id="rId392" Type="http://schemas.openxmlformats.org/officeDocument/2006/relationships/hyperlink" Target="https://slcm.ui.ac.id/akademik/schedule/room-usage-report" TargetMode="External"/><Relationship Id="rId448" Type="http://schemas.openxmlformats.org/officeDocument/2006/relationships/hyperlink" Target="https://slcm.ui.ac.id/akademik/schedule/room-usage-report" TargetMode="External"/><Relationship Id="rId252" Type="http://schemas.openxmlformats.org/officeDocument/2006/relationships/hyperlink" Target="https://slcm.ui.ac.id/akademik/schedule/room-usage-report" TargetMode="External"/><Relationship Id="rId294" Type="http://schemas.openxmlformats.org/officeDocument/2006/relationships/hyperlink" Target="https://slcm.ui.ac.id/akademik/schedule/room-usage-report" TargetMode="External"/><Relationship Id="rId308" Type="http://schemas.openxmlformats.org/officeDocument/2006/relationships/hyperlink" Target="https://slcm.ui.ac.id/akademik/schedule/room-usage-report" TargetMode="External"/><Relationship Id="rId47" Type="http://schemas.openxmlformats.org/officeDocument/2006/relationships/hyperlink" Target="https://slcm.ui.ac.id/akademik/schedule/room-usage-report" TargetMode="External"/><Relationship Id="rId89" Type="http://schemas.openxmlformats.org/officeDocument/2006/relationships/hyperlink" Target="https://slcm.ui.ac.id/akademik/schedule/room-usage-report" TargetMode="External"/><Relationship Id="rId112" Type="http://schemas.openxmlformats.org/officeDocument/2006/relationships/hyperlink" Target="https://slcm.ui.ac.id/akademik/schedule/room-usage-report" TargetMode="External"/><Relationship Id="rId154" Type="http://schemas.openxmlformats.org/officeDocument/2006/relationships/hyperlink" Target="https://slcm.ui.ac.id/akademik/schedule/room-usage-report" TargetMode="External"/><Relationship Id="rId361" Type="http://schemas.openxmlformats.org/officeDocument/2006/relationships/hyperlink" Target="https://slcm.ui.ac.id/akademik/schedule/room-usage-report" TargetMode="External"/><Relationship Id="rId196" Type="http://schemas.openxmlformats.org/officeDocument/2006/relationships/hyperlink" Target="https://slcm.ui.ac.id/akademik/schedule/room-usage-report" TargetMode="External"/><Relationship Id="rId417" Type="http://schemas.openxmlformats.org/officeDocument/2006/relationships/hyperlink" Target="https://slcm.ui.ac.id/akademik/schedule/room-usage-report" TargetMode="External"/><Relationship Id="rId16" Type="http://schemas.openxmlformats.org/officeDocument/2006/relationships/hyperlink" Target="https://slcm.ui.ac.id/akademik/schedule/room-usage-report" TargetMode="External"/><Relationship Id="rId221" Type="http://schemas.openxmlformats.org/officeDocument/2006/relationships/hyperlink" Target="https://slcm.ui.ac.id/akademik/schedule/room-usage-report" TargetMode="External"/><Relationship Id="rId263" Type="http://schemas.openxmlformats.org/officeDocument/2006/relationships/hyperlink" Target="https://slcm.ui.ac.id/akademik/schedule/room-usage-report" TargetMode="External"/><Relationship Id="rId319" Type="http://schemas.openxmlformats.org/officeDocument/2006/relationships/hyperlink" Target="https://slcm.ui.ac.id/akademik/schedule/room-usage-report" TargetMode="External"/><Relationship Id="rId58" Type="http://schemas.openxmlformats.org/officeDocument/2006/relationships/hyperlink" Target="https://slcm.ui.ac.id/akademik/schedule/room-usage-report" TargetMode="External"/><Relationship Id="rId123" Type="http://schemas.openxmlformats.org/officeDocument/2006/relationships/hyperlink" Target="https://slcm.ui.ac.id/akademik/schedule/room-usage-report" TargetMode="External"/><Relationship Id="rId330" Type="http://schemas.openxmlformats.org/officeDocument/2006/relationships/hyperlink" Target="https://slcm.ui.ac.id/akademik/schedule/room-usage-report" TargetMode="External"/><Relationship Id="rId165" Type="http://schemas.openxmlformats.org/officeDocument/2006/relationships/hyperlink" Target="https://slcm.ui.ac.id/akademik/schedule/room-usage-report" TargetMode="External"/><Relationship Id="rId372" Type="http://schemas.openxmlformats.org/officeDocument/2006/relationships/hyperlink" Target="https://slcm.ui.ac.id/akademik/schedule/room-usage-report" TargetMode="External"/><Relationship Id="rId428" Type="http://schemas.openxmlformats.org/officeDocument/2006/relationships/hyperlink" Target="https://slcm.ui.ac.id/akademik/schedule/room-usage-report" TargetMode="External"/><Relationship Id="rId232" Type="http://schemas.openxmlformats.org/officeDocument/2006/relationships/hyperlink" Target="https://slcm.ui.ac.id/akademik/schedule/room-usage-report" TargetMode="External"/><Relationship Id="rId274" Type="http://schemas.openxmlformats.org/officeDocument/2006/relationships/hyperlink" Target="https://slcm.ui.ac.id/akademik/schedule/room-usage-report" TargetMode="External"/><Relationship Id="rId27" Type="http://schemas.openxmlformats.org/officeDocument/2006/relationships/hyperlink" Target="https://slcm.ui.ac.id/akademik/schedule/room-usage-report" TargetMode="External"/><Relationship Id="rId69" Type="http://schemas.openxmlformats.org/officeDocument/2006/relationships/hyperlink" Target="https://slcm.ui.ac.id/akademik/schedule/room-usage-report" TargetMode="External"/><Relationship Id="rId134" Type="http://schemas.openxmlformats.org/officeDocument/2006/relationships/hyperlink" Target="https://slcm.ui.ac.id/akademik/schedule/room-usage-report" TargetMode="External"/><Relationship Id="rId80" Type="http://schemas.openxmlformats.org/officeDocument/2006/relationships/hyperlink" Target="https://slcm.ui.ac.id/akademik/schedule/room-usage-report" TargetMode="External"/><Relationship Id="rId176" Type="http://schemas.openxmlformats.org/officeDocument/2006/relationships/hyperlink" Target="https://slcm.ui.ac.id/akademik/schedule/room-usage-report" TargetMode="External"/><Relationship Id="rId341" Type="http://schemas.openxmlformats.org/officeDocument/2006/relationships/hyperlink" Target="https://slcm.ui.ac.id/akademik/schedule/room-usage-report" TargetMode="External"/><Relationship Id="rId383" Type="http://schemas.openxmlformats.org/officeDocument/2006/relationships/hyperlink" Target="https://slcm.ui.ac.id/akademik/schedule/room-usage-report" TargetMode="External"/><Relationship Id="rId439" Type="http://schemas.openxmlformats.org/officeDocument/2006/relationships/hyperlink" Target="https://slcm.ui.ac.id/akademik/schedule/room-usage-report" TargetMode="External"/><Relationship Id="rId201" Type="http://schemas.openxmlformats.org/officeDocument/2006/relationships/hyperlink" Target="https://slcm.ui.ac.id/akademik/schedule/room-usage-report" TargetMode="External"/><Relationship Id="rId243" Type="http://schemas.openxmlformats.org/officeDocument/2006/relationships/hyperlink" Target="https://slcm.ui.ac.id/akademik/schedule/room-usage-report" TargetMode="External"/><Relationship Id="rId285" Type="http://schemas.openxmlformats.org/officeDocument/2006/relationships/hyperlink" Target="https://slcm.ui.ac.id/akademik/schedule/room-usage-report" TargetMode="External"/><Relationship Id="rId450" Type="http://schemas.openxmlformats.org/officeDocument/2006/relationships/hyperlink" Target="https://slcm.ui.ac.id/akademik/schedule/room-usage-report" TargetMode="External"/><Relationship Id="rId38" Type="http://schemas.openxmlformats.org/officeDocument/2006/relationships/hyperlink" Target="https://slcm.ui.ac.id/akademik/schedule/room-usage-report" TargetMode="External"/><Relationship Id="rId103" Type="http://schemas.openxmlformats.org/officeDocument/2006/relationships/hyperlink" Target="https://slcm.ui.ac.id/akademik/schedule/room-usage-report" TargetMode="External"/><Relationship Id="rId310" Type="http://schemas.openxmlformats.org/officeDocument/2006/relationships/hyperlink" Target="https://slcm.ui.ac.id/akademik/schedule/room-usage-report" TargetMode="External"/><Relationship Id="rId91" Type="http://schemas.openxmlformats.org/officeDocument/2006/relationships/hyperlink" Target="https://slcm.ui.ac.id/akademik/schedule/room-usage-report" TargetMode="External"/><Relationship Id="rId145" Type="http://schemas.openxmlformats.org/officeDocument/2006/relationships/hyperlink" Target="https://slcm.ui.ac.id/akademik/schedule/room-usage-report" TargetMode="External"/><Relationship Id="rId187" Type="http://schemas.openxmlformats.org/officeDocument/2006/relationships/hyperlink" Target="https://slcm.ui.ac.id/akademik/schedule/room-usage-report" TargetMode="External"/><Relationship Id="rId352" Type="http://schemas.openxmlformats.org/officeDocument/2006/relationships/hyperlink" Target="https://slcm.ui.ac.id/akademik/schedule/room-usage-report" TargetMode="External"/><Relationship Id="rId394" Type="http://schemas.openxmlformats.org/officeDocument/2006/relationships/hyperlink" Target="https://slcm.ui.ac.id/akademik/schedule/room-usage-report" TargetMode="External"/><Relationship Id="rId408" Type="http://schemas.openxmlformats.org/officeDocument/2006/relationships/hyperlink" Target="https://slcm.ui.ac.id/akademik/schedule/room-usage-report" TargetMode="External"/><Relationship Id="rId212" Type="http://schemas.openxmlformats.org/officeDocument/2006/relationships/hyperlink" Target="https://slcm.ui.ac.id/akademik/schedule/room-usage-report" TargetMode="External"/><Relationship Id="rId254" Type="http://schemas.openxmlformats.org/officeDocument/2006/relationships/hyperlink" Target="https://slcm.ui.ac.id/akademik/schedule/room-usage-report" TargetMode="External"/><Relationship Id="rId49" Type="http://schemas.openxmlformats.org/officeDocument/2006/relationships/hyperlink" Target="https://slcm.ui.ac.id/akademik/schedule/room-usage-report" TargetMode="External"/><Relationship Id="rId114" Type="http://schemas.openxmlformats.org/officeDocument/2006/relationships/hyperlink" Target="https://slcm.ui.ac.id/akademik/schedule/room-usage-report" TargetMode="External"/><Relationship Id="rId296" Type="http://schemas.openxmlformats.org/officeDocument/2006/relationships/hyperlink" Target="https://slcm.ui.ac.id/akademik/schedule/room-usage-report" TargetMode="External"/><Relationship Id="rId60" Type="http://schemas.openxmlformats.org/officeDocument/2006/relationships/hyperlink" Target="https://slcm.ui.ac.id/akademik/schedule/room-usage-report" TargetMode="External"/><Relationship Id="rId156" Type="http://schemas.openxmlformats.org/officeDocument/2006/relationships/hyperlink" Target="https://slcm.ui.ac.id/akademik/schedule/room-usage-report" TargetMode="External"/><Relationship Id="rId198" Type="http://schemas.openxmlformats.org/officeDocument/2006/relationships/hyperlink" Target="https://slcm.ui.ac.id/akademik/schedule/room-usage-report" TargetMode="External"/><Relationship Id="rId321" Type="http://schemas.openxmlformats.org/officeDocument/2006/relationships/hyperlink" Target="https://slcm.ui.ac.id/akademik/schedule/room-usage-report" TargetMode="External"/><Relationship Id="rId363" Type="http://schemas.openxmlformats.org/officeDocument/2006/relationships/hyperlink" Target="https://slcm.ui.ac.id/akademik/schedule/room-usage-report" TargetMode="External"/><Relationship Id="rId419" Type="http://schemas.openxmlformats.org/officeDocument/2006/relationships/hyperlink" Target="https://slcm.ui.ac.id/akademik/schedule/room-usage-report" TargetMode="External"/><Relationship Id="rId223" Type="http://schemas.openxmlformats.org/officeDocument/2006/relationships/hyperlink" Target="https://slcm.ui.ac.id/akademik/schedule/room-usage-report" TargetMode="External"/><Relationship Id="rId430" Type="http://schemas.openxmlformats.org/officeDocument/2006/relationships/hyperlink" Target="https://slcm.ui.ac.id/akademik/schedule/room-usage-report" TargetMode="External"/><Relationship Id="rId18" Type="http://schemas.openxmlformats.org/officeDocument/2006/relationships/hyperlink" Target="https://slcm.ui.ac.id/akademik/schedule/room-usage-report" TargetMode="External"/><Relationship Id="rId265" Type="http://schemas.openxmlformats.org/officeDocument/2006/relationships/hyperlink" Target="https://slcm.ui.ac.id/akademik/schedule/room-usage-report" TargetMode="External"/><Relationship Id="rId125" Type="http://schemas.openxmlformats.org/officeDocument/2006/relationships/hyperlink" Target="https://slcm.ui.ac.id/akademik/schedule/room-usage-report" TargetMode="External"/><Relationship Id="rId167" Type="http://schemas.openxmlformats.org/officeDocument/2006/relationships/hyperlink" Target="https://slcm.ui.ac.id/akademik/schedule/room-usage-report" TargetMode="External"/><Relationship Id="rId332" Type="http://schemas.openxmlformats.org/officeDocument/2006/relationships/hyperlink" Target="https://slcm.ui.ac.id/akademik/schedule/room-usage-report" TargetMode="External"/><Relationship Id="rId374" Type="http://schemas.openxmlformats.org/officeDocument/2006/relationships/hyperlink" Target="https://slcm.ui.ac.id/akademik/schedule/room-usage-report" TargetMode="External"/><Relationship Id="rId71" Type="http://schemas.openxmlformats.org/officeDocument/2006/relationships/hyperlink" Target="https://slcm.ui.ac.id/akademik/schedule/room-usage-report" TargetMode="External"/><Relationship Id="rId92" Type="http://schemas.openxmlformats.org/officeDocument/2006/relationships/hyperlink" Target="https://slcm.ui.ac.id/akademik/schedule/room-usage-report" TargetMode="External"/><Relationship Id="rId213" Type="http://schemas.openxmlformats.org/officeDocument/2006/relationships/hyperlink" Target="https://slcm.ui.ac.id/akademik/schedule/room-usage-report" TargetMode="External"/><Relationship Id="rId234" Type="http://schemas.openxmlformats.org/officeDocument/2006/relationships/hyperlink" Target="https://slcm.ui.ac.id/akademik/schedule/room-usage-report" TargetMode="External"/><Relationship Id="rId420" Type="http://schemas.openxmlformats.org/officeDocument/2006/relationships/hyperlink" Target="https://slcm.ui.ac.id/akademik/schedule/room-usage-report" TargetMode="External"/><Relationship Id="rId2" Type="http://schemas.openxmlformats.org/officeDocument/2006/relationships/hyperlink" Target="https://slcm.ui.ac.id/akademik/schedule/room-usage-report" TargetMode="External"/><Relationship Id="rId29" Type="http://schemas.openxmlformats.org/officeDocument/2006/relationships/hyperlink" Target="https://slcm.ui.ac.id/akademik/schedule/room-usage-report" TargetMode="External"/><Relationship Id="rId255" Type="http://schemas.openxmlformats.org/officeDocument/2006/relationships/hyperlink" Target="https://slcm.ui.ac.id/akademik/schedule/room-usage-report" TargetMode="External"/><Relationship Id="rId276" Type="http://schemas.openxmlformats.org/officeDocument/2006/relationships/hyperlink" Target="https://slcm.ui.ac.id/akademik/schedule/room-usage-report" TargetMode="External"/><Relationship Id="rId297" Type="http://schemas.openxmlformats.org/officeDocument/2006/relationships/hyperlink" Target="https://slcm.ui.ac.id/akademik/schedule/room-usage-report" TargetMode="External"/><Relationship Id="rId441" Type="http://schemas.openxmlformats.org/officeDocument/2006/relationships/hyperlink" Target="https://slcm.ui.ac.id/akademik/schedule/room-usage-report" TargetMode="External"/><Relationship Id="rId40" Type="http://schemas.openxmlformats.org/officeDocument/2006/relationships/hyperlink" Target="https://slcm.ui.ac.id/akademik/schedule/room-usage-report" TargetMode="External"/><Relationship Id="rId115" Type="http://schemas.openxmlformats.org/officeDocument/2006/relationships/hyperlink" Target="https://slcm.ui.ac.id/akademik/schedule/room-usage-report" TargetMode="External"/><Relationship Id="rId136" Type="http://schemas.openxmlformats.org/officeDocument/2006/relationships/hyperlink" Target="https://slcm.ui.ac.id/akademik/schedule/room-usage-report" TargetMode="External"/><Relationship Id="rId157" Type="http://schemas.openxmlformats.org/officeDocument/2006/relationships/hyperlink" Target="https://slcm.ui.ac.id/akademik/schedule/room-usage-report" TargetMode="External"/><Relationship Id="rId178" Type="http://schemas.openxmlformats.org/officeDocument/2006/relationships/hyperlink" Target="https://slcm.ui.ac.id/akademik/schedule/room-usage-report" TargetMode="External"/><Relationship Id="rId301" Type="http://schemas.openxmlformats.org/officeDocument/2006/relationships/hyperlink" Target="https://slcm.ui.ac.id/akademik/schedule/room-usage-report" TargetMode="External"/><Relationship Id="rId322" Type="http://schemas.openxmlformats.org/officeDocument/2006/relationships/hyperlink" Target="https://slcm.ui.ac.id/akademik/schedule/room-usage-report" TargetMode="External"/><Relationship Id="rId343" Type="http://schemas.openxmlformats.org/officeDocument/2006/relationships/hyperlink" Target="https://slcm.ui.ac.id/akademik/schedule/room-usage-report" TargetMode="External"/><Relationship Id="rId364" Type="http://schemas.openxmlformats.org/officeDocument/2006/relationships/hyperlink" Target="https://slcm.ui.ac.id/akademik/schedule/room-usage-report" TargetMode="External"/><Relationship Id="rId61" Type="http://schemas.openxmlformats.org/officeDocument/2006/relationships/hyperlink" Target="https://slcm.ui.ac.id/akademik/schedule/room-usage-report" TargetMode="External"/><Relationship Id="rId82" Type="http://schemas.openxmlformats.org/officeDocument/2006/relationships/hyperlink" Target="https://slcm.ui.ac.id/akademik/schedule/room-usage-report" TargetMode="External"/><Relationship Id="rId199" Type="http://schemas.openxmlformats.org/officeDocument/2006/relationships/hyperlink" Target="https://slcm.ui.ac.id/akademik/schedule/room-usage-report" TargetMode="External"/><Relationship Id="rId203" Type="http://schemas.openxmlformats.org/officeDocument/2006/relationships/hyperlink" Target="https://slcm.ui.ac.id/akademik/schedule/room-usage-report" TargetMode="External"/><Relationship Id="rId385" Type="http://schemas.openxmlformats.org/officeDocument/2006/relationships/hyperlink" Target="https://slcm.ui.ac.id/akademik/schedule/room-usage-report" TargetMode="External"/><Relationship Id="rId19" Type="http://schemas.openxmlformats.org/officeDocument/2006/relationships/hyperlink" Target="https://slcm.ui.ac.id/akademik/schedule/room-usage-report" TargetMode="External"/><Relationship Id="rId224" Type="http://schemas.openxmlformats.org/officeDocument/2006/relationships/hyperlink" Target="https://slcm.ui.ac.id/akademik/schedule/room-usage-report" TargetMode="External"/><Relationship Id="rId245" Type="http://schemas.openxmlformats.org/officeDocument/2006/relationships/hyperlink" Target="https://slcm.ui.ac.id/akademik/schedule/room-usage-report" TargetMode="External"/><Relationship Id="rId266" Type="http://schemas.openxmlformats.org/officeDocument/2006/relationships/hyperlink" Target="https://slcm.ui.ac.id/akademik/schedule/room-usage-report" TargetMode="External"/><Relationship Id="rId287" Type="http://schemas.openxmlformats.org/officeDocument/2006/relationships/hyperlink" Target="https://slcm.ui.ac.id/akademik/schedule/room-usage-report" TargetMode="External"/><Relationship Id="rId410" Type="http://schemas.openxmlformats.org/officeDocument/2006/relationships/hyperlink" Target="https://slcm.ui.ac.id/akademik/schedule/room-usage-report" TargetMode="External"/><Relationship Id="rId431" Type="http://schemas.openxmlformats.org/officeDocument/2006/relationships/hyperlink" Target="https://slcm.ui.ac.id/akademik/schedule/room-usage-report" TargetMode="External"/><Relationship Id="rId452" Type="http://schemas.openxmlformats.org/officeDocument/2006/relationships/hyperlink" Target="https://slcm.ui.ac.id/akademik/schedule/room-usage-report" TargetMode="External"/><Relationship Id="rId30" Type="http://schemas.openxmlformats.org/officeDocument/2006/relationships/hyperlink" Target="https://slcm.ui.ac.id/akademik/schedule/room-usage-report" TargetMode="External"/><Relationship Id="rId105" Type="http://schemas.openxmlformats.org/officeDocument/2006/relationships/hyperlink" Target="https://slcm.ui.ac.id/akademik/schedule/room-usage-report" TargetMode="External"/><Relationship Id="rId126" Type="http://schemas.openxmlformats.org/officeDocument/2006/relationships/hyperlink" Target="https://slcm.ui.ac.id/akademik/schedule/room-usage-report" TargetMode="External"/><Relationship Id="rId147" Type="http://schemas.openxmlformats.org/officeDocument/2006/relationships/hyperlink" Target="https://slcm.ui.ac.id/akademik/schedule/room-usage-report" TargetMode="External"/><Relationship Id="rId168" Type="http://schemas.openxmlformats.org/officeDocument/2006/relationships/hyperlink" Target="https://slcm.ui.ac.id/akademik/schedule/room-usage-report" TargetMode="External"/><Relationship Id="rId312" Type="http://schemas.openxmlformats.org/officeDocument/2006/relationships/hyperlink" Target="https://slcm.ui.ac.id/akademik/schedule/room-usage-report" TargetMode="External"/><Relationship Id="rId333" Type="http://schemas.openxmlformats.org/officeDocument/2006/relationships/hyperlink" Target="https://slcm.ui.ac.id/akademik/schedule/room-usage-report" TargetMode="External"/><Relationship Id="rId354" Type="http://schemas.openxmlformats.org/officeDocument/2006/relationships/hyperlink" Target="https://slcm.ui.ac.id/akademik/schedule/room-usage-report" TargetMode="External"/><Relationship Id="rId51" Type="http://schemas.openxmlformats.org/officeDocument/2006/relationships/hyperlink" Target="https://slcm.ui.ac.id/akademik/schedule/room-usage-report" TargetMode="External"/><Relationship Id="rId72" Type="http://schemas.openxmlformats.org/officeDocument/2006/relationships/hyperlink" Target="https://slcm.ui.ac.id/akademik/schedule/room-usage-report" TargetMode="External"/><Relationship Id="rId93" Type="http://schemas.openxmlformats.org/officeDocument/2006/relationships/hyperlink" Target="https://slcm.ui.ac.id/akademik/schedule/room-usage-report" TargetMode="External"/><Relationship Id="rId189" Type="http://schemas.openxmlformats.org/officeDocument/2006/relationships/hyperlink" Target="https://slcm.ui.ac.id/akademik/schedule/room-usage-report" TargetMode="External"/><Relationship Id="rId375" Type="http://schemas.openxmlformats.org/officeDocument/2006/relationships/hyperlink" Target="https://slcm.ui.ac.id/akademik/schedule/room-usage-report" TargetMode="External"/><Relationship Id="rId396" Type="http://schemas.openxmlformats.org/officeDocument/2006/relationships/hyperlink" Target="https://slcm.ui.ac.id/akademik/schedule/room-usage-report" TargetMode="External"/><Relationship Id="rId3" Type="http://schemas.openxmlformats.org/officeDocument/2006/relationships/hyperlink" Target="https://slcm.ui.ac.id/akademik/schedule/room-usage-report" TargetMode="External"/><Relationship Id="rId214" Type="http://schemas.openxmlformats.org/officeDocument/2006/relationships/hyperlink" Target="https://slcm.ui.ac.id/akademik/schedule/room-usage-report" TargetMode="External"/><Relationship Id="rId235" Type="http://schemas.openxmlformats.org/officeDocument/2006/relationships/hyperlink" Target="https://slcm.ui.ac.id/akademik/schedule/room-usage-report" TargetMode="External"/><Relationship Id="rId256" Type="http://schemas.openxmlformats.org/officeDocument/2006/relationships/hyperlink" Target="https://slcm.ui.ac.id/akademik/schedule/room-usage-report" TargetMode="External"/><Relationship Id="rId277" Type="http://schemas.openxmlformats.org/officeDocument/2006/relationships/hyperlink" Target="https://slcm.ui.ac.id/akademik/schedule/room-usage-report" TargetMode="External"/><Relationship Id="rId298" Type="http://schemas.openxmlformats.org/officeDocument/2006/relationships/hyperlink" Target="https://slcm.ui.ac.id/akademik/schedule/room-usage-report" TargetMode="External"/><Relationship Id="rId400" Type="http://schemas.openxmlformats.org/officeDocument/2006/relationships/hyperlink" Target="https://slcm.ui.ac.id/akademik/schedule/room-usage-report" TargetMode="External"/><Relationship Id="rId421" Type="http://schemas.openxmlformats.org/officeDocument/2006/relationships/hyperlink" Target="https://slcm.ui.ac.id/akademik/schedule/room-usage-report" TargetMode="External"/><Relationship Id="rId442" Type="http://schemas.openxmlformats.org/officeDocument/2006/relationships/hyperlink" Target="https://slcm.ui.ac.id/akademik/schedule/room-usage-report" TargetMode="External"/><Relationship Id="rId116" Type="http://schemas.openxmlformats.org/officeDocument/2006/relationships/hyperlink" Target="https://slcm.ui.ac.id/akademik/schedule/room-usage-report" TargetMode="External"/><Relationship Id="rId137" Type="http://schemas.openxmlformats.org/officeDocument/2006/relationships/hyperlink" Target="https://slcm.ui.ac.id/akademik/schedule/room-usage-report" TargetMode="External"/><Relationship Id="rId158" Type="http://schemas.openxmlformats.org/officeDocument/2006/relationships/hyperlink" Target="https://slcm.ui.ac.id/akademik/schedule/room-usage-report" TargetMode="External"/><Relationship Id="rId302" Type="http://schemas.openxmlformats.org/officeDocument/2006/relationships/hyperlink" Target="https://slcm.ui.ac.id/akademik/schedule/room-usage-report" TargetMode="External"/><Relationship Id="rId323" Type="http://schemas.openxmlformats.org/officeDocument/2006/relationships/hyperlink" Target="https://slcm.ui.ac.id/akademik/schedule/room-usage-report" TargetMode="External"/><Relationship Id="rId344" Type="http://schemas.openxmlformats.org/officeDocument/2006/relationships/hyperlink" Target="https://slcm.ui.ac.id/akademik/schedule/room-usage-report" TargetMode="External"/><Relationship Id="rId20" Type="http://schemas.openxmlformats.org/officeDocument/2006/relationships/hyperlink" Target="https://slcm.ui.ac.id/akademik/schedule/room-usage-report" TargetMode="External"/><Relationship Id="rId41" Type="http://schemas.openxmlformats.org/officeDocument/2006/relationships/hyperlink" Target="https://slcm.ui.ac.id/akademik/schedule/room-usage-report" TargetMode="External"/><Relationship Id="rId62" Type="http://schemas.openxmlformats.org/officeDocument/2006/relationships/hyperlink" Target="https://slcm.ui.ac.id/akademik/schedule/room-usage-report" TargetMode="External"/><Relationship Id="rId83" Type="http://schemas.openxmlformats.org/officeDocument/2006/relationships/hyperlink" Target="https://slcm.ui.ac.id/akademik/schedule/room-usage-report" TargetMode="External"/><Relationship Id="rId179" Type="http://schemas.openxmlformats.org/officeDocument/2006/relationships/hyperlink" Target="https://slcm.ui.ac.id/akademik/schedule/room-usage-report" TargetMode="External"/><Relationship Id="rId365" Type="http://schemas.openxmlformats.org/officeDocument/2006/relationships/hyperlink" Target="https://slcm.ui.ac.id/akademik/schedule/room-usage-report" TargetMode="External"/><Relationship Id="rId386" Type="http://schemas.openxmlformats.org/officeDocument/2006/relationships/hyperlink" Target="https://slcm.ui.ac.id/akademik/schedule/room-usage-report" TargetMode="External"/><Relationship Id="rId190" Type="http://schemas.openxmlformats.org/officeDocument/2006/relationships/hyperlink" Target="https://slcm.ui.ac.id/akademik/schedule/room-usage-report" TargetMode="External"/><Relationship Id="rId204" Type="http://schemas.openxmlformats.org/officeDocument/2006/relationships/hyperlink" Target="https://slcm.ui.ac.id/akademik/schedule/room-usage-report" TargetMode="External"/><Relationship Id="rId225" Type="http://schemas.openxmlformats.org/officeDocument/2006/relationships/hyperlink" Target="https://slcm.ui.ac.id/akademik/schedule/room-usage-report" TargetMode="External"/><Relationship Id="rId246" Type="http://schemas.openxmlformats.org/officeDocument/2006/relationships/hyperlink" Target="https://slcm.ui.ac.id/akademik/schedule/room-usage-report" TargetMode="External"/><Relationship Id="rId267" Type="http://schemas.openxmlformats.org/officeDocument/2006/relationships/hyperlink" Target="https://slcm.ui.ac.id/akademik/schedule/room-usage-report" TargetMode="External"/><Relationship Id="rId288" Type="http://schemas.openxmlformats.org/officeDocument/2006/relationships/hyperlink" Target="https://slcm.ui.ac.id/akademik/schedule/room-usage-report" TargetMode="External"/><Relationship Id="rId411" Type="http://schemas.openxmlformats.org/officeDocument/2006/relationships/hyperlink" Target="https://slcm.ui.ac.id/akademik/schedule/room-usage-report" TargetMode="External"/><Relationship Id="rId432" Type="http://schemas.openxmlformats.org/officeDocument/2006/relationships/hyperlink" Target="https://slcm.ui.ac.id/akademik/schedule/room-usage-report" TargetMode="External"/><Relationship Id="rId453" Type="http://schemas.openxmlformats.org/officeDocument/2006/relationships/hyperlink" Target="https://slcm.ui.ac.id/akademik/schedule/room-usage-report" TargetMode="External"/><Relationship Id="rId106" Type="http://schemas.openxmlformats.org/officeDocument/2006/relationships/hyperlink" Target="https://slcm.ui.ac.id/akademik/schedule/room-usage-report" TargetMode="External"/><Relationship Id="rId127" Type="http://schemas.openxmlformats.org/officeDocument/2006/relationships/hyperlink" Target="https://slcm.ui.ac.id/akademik/schedule/room-usage-report" TargetMode="External"/><Relationship Id="rId313" Type="http://schemas.openxmlformats.org/officeDocument/2006/relationships/hyperlink" Target="https://slcm.ui.ac.id/akademik/schedule/room-usage-report" TargetMode="External"/><Relationship Id="rId10" Type="http://schemas.openxmlformats.org/officeDocument/2006/relationships/hyperlink" Target="https://slcm.ui.ac.id/akademik/schedule/room-usage-report" TargetMode="External"/><Relationship Id="rId31" Type="http://schemas.openxmlformats.org/officeDocument/2006/relationships/hyperlink" Target="https://slcm.ui.ac.id/akademik/schedule/room-usage-report" TargetMode="External"/><Relationship Id="rId52" Type="http://schemas.openxmlformats.org/officeDocument/2006/relationships/hyperlink" Target="https://slcm.ui.ac.id/akademik/schedule/room-usage-report" TargetMode="External"/><Relationship Id="rId73" Type="http://schemas.openxmlformats.org/officeDocument/2006/relationships/hyperlink" Target="https://slcm.ui.ac.id/akademik/schedule/room-usage-report" TargetMode="External"/><Relationship Id="rId94" Type="http://schemas.openxmlformats.org/officeDocument/2006/relationships/hyperlink" Target="https://slcm.ui.ac.id/akademik/schedule/room-usage-report" TargetMode="External"/><Relationship Id="rId148" Type="http://schemas.openxmlformats.org/officeDocument/2006/relationships/hyperlink" Target="https://slcm.ui.ac.id/akademik/schedule/room-usage-report" TargetMode="External"/><Relationship Id="rId169" Type="http://schemas.openxmlformats.org/officeDocument/2006/relationships/hyperlink" Target="https://slcm.ui.ac.id/akademik/schedule/room-usage-report" TargetMode="External"/><Relationship Id="rId334" Type="http://schemas.openxmlformats.org/officeDocument/2006/relationships/hyperlink" Target="https://slcm.ui.ac.id/akademik/schedule/room-usage-report" TargetMode="External"/><Relationship Id="rId355" Type="http://schemas.openxmlformats.org/officeDocument/2006/relationships/hyperlink" Target="https://slcm.ui.ac.id/akademik/schedule/room-usage-report" TargetMode="External"/><Relationship Id="rId376" Type="http://schemas.openxmlformats.org/officeDocument/2006/relationships/hyperlink" Target="https://slcm.ui.ac.id/akademik/schedule/room-usage-report" TargetMode="External"/><Relationship Id="rId397" Type="http://schemas.openxmlformats.org/officeDocument/2006/relationships/hyperlink" Target="https://slcm.ui.ac.id/akademik/schedule/room-usage-report" TargetMode="External"/><Relationship Id="rId4" Type="http://schemas.openxmlformats.org/officeDocument/2006/relationships/hyperlink" Target="https://slcm.ui.ac.id/akademik/schedule/room-usage-report" TargetMode="External"/><Relationship Id="rId180" Type="http://schemas.openxmlformats.org/officeDocument/2006/relationships/hyperlink" Target="https://slcm.ui.ac.id/akademik/schedule/room-usage-report" TargetMode="External"/><Relationship Id="rId215" Type="http://schemas.openxmlformats.org/officeDocument/2006/relationships/hyperlink" Target="https://slcm.ui.ac.id/akademik/schedule/room-usage-report" TargetMode="External"/><Relationship Id="rId236" Type="http://schemas.openxmlformats.org/officeDocument/2006/relationships/hyperlink" Target="https://slcm.ui.ac.id/akademik/schedule/room-usage-report" TargetMode="External"/><Relationship Id="rId257" Type="http://schemas.openxmlformats.org/officeDocument/2006/relationships/hyperlink" Target="https://slcm.ui.ac.id/akademik/schedule/room-usage-report" TargetMode="External"/><Relationship Id="rId278" Type="http://schemas.openxmlformats.org/officeDocument/2006/relationships/hyperlink" Target="https://slcm.ui.ac.id/akademik/schedule/room-usage-report" TargetMode="External"/><Relationship Id="rId401" Type="http://schemas.openxmlformats.org/officeDocument/2006/relationships/hyperlink" Target="https://slcm.ui.ac.id/akademik/schedule/room-usage-report" TargetMode="External"/><Relationship Id="rId422" Type="http://schemas.openxmlformats.org/officeDocument/2006/relationships/hyperlink" Target="https://slcm.ui.ac.id/akademik/schedule/room-usage-report" TargetMode="External"/><Relationship Id="rId443" Type="http://schemas.openxmlformats.org/officeDocument/2006/relationships/hyperlink" Target="https://slcm.ui.ac.id/akademik/schedule/room-usage-report" TargetMode="External"/><Relationship Id="rId303" Type="http://schemas.openxmlformats.org/officeDocument/2006/relationships/hyperlink" Target="https://slcm.ui.ac.id/akademik/schedule/room-usage-report" TargetMode="External"/><Relationship Id="rId42" Type="http://schemas.openxmlformats.org/officeDocument/2006/relationships/hyperlink" Target="https://slcm.ui.ac.id/akademik/schedule/room-usage-report" TargetMode="External"/><Relationship Id="rId84" Type="http://schemas.openxmlformats.org/officeDocument/2006/relationships/hyperlink" Target="https://slcm.ui.ac.id/akademik/schedule/room-usage-report" TargetMode="External"/><Relationship Id="rId138" Type="http://schemas.openxmlformats.org/officeDocument/2006/relationships/hyperlink" Target="https://slcm.ui.ac.id/akademik/schedule/room-usage-report" TargetMode="External"/><Relationship Id="rId345" Type="http://schemas.openxmlformats.org/officeDocument/2006/relationships/hyperlink" Target="https://slcm.ui.ac.id/akademik/schedule/room-usage-report" TargetMode="External"/><Relationship Id="rId387" Type="http://schemas.openxmlformats.org/officeDocument/2006/relationships/hyperlink" Target="https://slcm.ui.ac.id/akademik/schedule/room-usage-report" TargetMode="External"/><Relationship Id="rId191" Type="http://schemas.openxmlformats.org/officeDocument/2006/relationships/hyperlink" Target="https://slcm.ui.ac.id/akademik/schedule/room-usage-report" TargetMode="External"/><Relationship Id="rId205" Type="http://schemas.openxmlformats.org/officeDocument/2006/relationships/hyperlink" Target="https://slcm.ui.ac.id/akademik/schedule/room-usage-report" TargetMode="External"/><Relationship Id="rId247" Type="http://schemas.openxmlformats.org/officeDocument/2006/relationships/hyperlink" Target="https://slcm.ui.ac.id/akademik/schedule/room-usage-report" TargetMode="External"/><Relationship Id="rId412" Type="http://schemas.openxmlformats.org/officeDocument/2006/relationships/hyperlink" Target="https://slcm.ui.ac.id/akademik/schedule/room-usage-report" TargetMode="External"/><Relationship Id="rId107" Type="http://schemas.openxmlformats.org/officeDocument/2006/relationships/hyperlink" Target="https://slcm.ui.ac.id/akademik/schedule/room-usage-report" TargetMode="External"/><Relationship Id="rId289" Type="http://schemas.openxmlformats.org/officeDocument/2006/relationships/hyperlink" Target="https://slcm.ui.ac.id/akademik/schedule/room-usage-report" TargetMode="External"/><Relationship Id="rId11" Type="http://schemas.openxmlformats.org/officeDocument/2006/relationships/hyperlink" Target="https://slcm.ui.ac.id/akademik/schedule/room-usage-report" TargetMode="External"/><Relationship Id="rId53" Type="http://schemas.openxmlformats.org/officeDocument/2006/relationships/hyperlink" Target="https://slcm.ui.ac.id/akademik/schedule/room-usage-report" TargetMode="External"/><Relationship Id="rId149" Type="http://schemas.openxmlformats.org/officeDocument/2006/relationships/hyperlink" Target="https://slcm.ui.ac.id/akademik/schedule/room-usage-report" TargetMode="External"/><Relationship Id="rId314" Type="http://schemas.openxmlformats.org/officeDocument/2006/relationships/hyperlink" Target="https://slcm.ui.ac.id/akademik/schedule/room-usage-report" TargetMode="External"/><Relationship Id="rId356" Type="http://schemas.openxmlformats.org/officeDocument/2006/relationships/hyperlink" Target="https://slcm.ui.ac.id/akademik/schedule/room-usage-report" TargetMode="External"/><Relationship Id="rId398" Type="http://schemas.openxmlformats.org/officeDocument/2006/relationships/hyperlink" Target="https://slcm.ui.ac.id/akademik/schedule/room-usage-report" TargetMode="External"/><Relationship Id="rId95" Type="http://schemas.openxmlformats.org/officeDocument/2006/relationships/hyperlink" Target="https://slcm.ui.ac.id/akademik/schedule/room-usage-report" TargetMode="External"/><Relationship Id="rId160" Type="http://schemas.openxmlformats.org/officeDocument/2006/relationships/hyperlink" Target="https://slcm.ui.ac.id/akademik/schedule/room-usage-report" TargetMode="External"/><Relationship Id="rId216" Type="http://schemas.openxmlformats.org/officeDocument/2006/relationships/hyperlink" Target="https://slcm.ui.ac.id/akademik/schedule/room-usage-report" TargetMode="External"/><Relationship Id="rId423" Type="http://schemas.openxmlformats.org/officeDocument/2006/relationships/hyperlink" Target="https://slcm.ui.ac.id/akademik/schedule/room-usage-report" TargetMode="External"/><Relationship Id="rId258" Type="http://schemas.openxmlformats.org/officeDocument/2006/relationships/hyperlink" Target="https://slcm.ui.ac.id/akademik/schedule/room-usage-report" TargetMode="External"/><Relationship Id="rId22" Type="http://schemas.openxmlformats.org/officeDocument/2006/relationships/hyperlink" Target="https://slcm.ui.ac.id/akademik/schedule/room-usage-report" TargetMode="External"/><Relationship Id="rId64" Type="http://schemas.openxmlformats.org/officeDocument/2006/relationships/hyperlink" Target="https://slcm.ui.ac.id/akademik/schedule/room-usage-report" TargetMode="External"/><Relationship Id="rId118" Type="http://schemas.openxmlformats.org/officeDocument/2006/relationships/hyperlink" Target="https://slcm.ui.ac.id/akademik/schedule/room-usage-report" TargetMode="External"/><Relationship Id="rId325" Type="http://schemas.openxmlformats.org/officeDocument/2006/relationships/hyperlink" Target="https://slcm.ui.ac.id/akademik/schedule/room-usage-report" TargetMode="External"/><Relationship Id="rId367" Type="http://schemas.openxmlformats.org/officeDocument/2006/relationships/hyperlink" Target="https://slcm.ui.ac.id/akademik/schedule/room-usage-report" TargetMode="External"/><Relationship Id="rId171" Type="http://schemas.openxmlformats.org/officeDocument/2006/relationships/hyperlink" Target="https://slcm.ui.ac.id/akademik/schedule/room-usage-report" TargetMode="External"/><Relationship Id="rId227" Type="http://schemas.openxmlformats.org/officeDocument/2006/relationships/hyperlink" Target="https://slcm.ui.ac.id/akademik/schedule/room-usage-report" TargetMode="External"/><Relationship Id="rId269" Type="http://schemas.openxmlformats.org/officeDocument/2006/relationships/hyperlink" Target="https://slcm.ui.ac.id/akademik/schedule/room-usage-report" TargetMode="External"/><Relationship Id="rId434" Type="http://schemas.openxmlformats.org/officeDocument/2006/relationships/hyperlink" Target="https://slcm.ui.ac.id/akademik/schedule/room-usage-report" TargetMode="External"/><Relationship Id="rId33" Type="http://schemas.openxmlformats.org/officeDocument/2006/relationships/hyperlink" Target="https://slcm.ui.ac.id/akademik/schedule/room-usage-report" TargetMode="External"/><Relationship Id="rId129" Type="http://schemas.openxmlformats.org/officeDocument/2006/relationships/hyperlink" Target="https://slcm.ui.ac.id/akademik/schedule/room-usage-report" TargetMode="External"/><Relationship Id="rId280" Type="http://schemas.openxmlformats.org/officeDocument/2006/relationships/hyperlink" Target="https://slcm.ui.ac.id/akademik/schedule/room-usage-report" TargetMode="External"/><Relationship Id="rId336" Type="http://schemas.openxmlformats.org/officeDocument/2006/relationships/hyperlink" Target="https://slcm.ui.ac.id/akademik/schedule/room-usage-report" TargetMode="External"/><Relationship Id="rId75" Type="http://schemas.openxmlformats.org/officeDocument/2006/relationships/hyperlink" Target="https://slcm.ui.ac.id/akademik/schedule/room-usage-report" TargetMode="External"/><Relationship Id="rId140" Type="http://schemas.openxmlformats.org/officeDocument/2006/relationships/hyperlink" Target="https://slcm.ui.ac.id/akademik/schedule/room-usage-report" TargetMode="External"/><Relationship Id="rId182" Type="http://schemas.openxmlformats.org/officeDocument/2006/relationships/hyperlink" Target="https://slcm.ui.ac.id/akademik/schedule/room-usage-report" TargetMode="External"/><Relationship Id="rId378" Type="http://schemas.openxmlformats.org/officeDocument/2006/relationships/hyperlink" Target="https://slcm.ui.ac.id/akademik/schedule/room-usage-report" TargetMode="External"/><Relationship Id="rId403" Type="http://schemas.openxmlformats.org/officeDocument/2006/relationships/hyperlink" Target="https://slcm.ui.ac.id/akademik/schedule/room-usage-report" TargetMode="External"/><Relationship Id="rId6" Type="http://schemas.openxmlformats.org/officeDocument/2006/relationships/hyperlink" Target="https://slcm.ui.ac.id/akademik/schedule/room-usage-report" TargetMode="External"/><Relationship Id="rId238" Type="http://schemas.openxmlformats.org/officeDocument/2006/relationships/hyperlink" Target="https://slcm.ui.ac.id/akademik/schedule/room-usage-report" TargetMode="External"/><Relationship Id="rId445" Type="http://schemas.openxmlformats.org/officeDocument/2006/relationships/hyperlink" Target="https://slcm.ui.ac.id/akademik/schedule/room-usage-report" TargetMode="External"/><Relationship Id="rId291" Type="http://schemas.openxmlformats.org/officeDocument/2006/relationships/hyperlink" Target="https://slcm.ui.ac.id/akademik/schedule/room-usage-report" TargetMode="External"/><Relationship Id="rId305" Type="http://schemas.openxmlformats.org/officeDocument/2006/relationships/hyperlink" Target="https://slcm.ui.ac.id/akademik/schedule/room-usage-report" TargetMode="External"/><Relationship Id="rId347" Type="http://schemas.openxmlformats.org/officeDocument/2006/relationships/hyperlink" Target="https://slcm.ui.ac.id/akademik/schedule/room-usage-report" TargetMode="External"/><Relationship Id="rId44" Type="http://schemas.openxmlformats.org/officeDocument/2006/relationships/hyperlink" Target="https://slcm.ui.ac.id/akademik/schedule/room-usage-report" TargetMode="External"/><Relationship Id="rId86" Type="http://schemas.openxmlformats.org/officeDocument/2006/relationships/hyperlink" Target="https://slcm.ui.ac.id/akademik/schedule/room-usage-report" TargetMode="External"/><Relationship Id="rId151" Type="http://schemas.openxmlformats.org/officeDocument/2006/relationships/hyperlink" Target="https://slcm.ui.ac.id/akademik/schedule/room-usage-report" TargetMode="External"/><Relationship Id="rId389" Type="http://schemas.openxmlformats.org/officeDocument/2006/relationships/hyperlink" Target="https://slcm.ui.ac.id/akademik/schedule/room-usage-report" TargetMode="External"/><Relationship Id="rId193" Type="http://schemas.openxmlformats.org/officeDocument/2006/relationships/hyperlink" Target="https://slcm.ui.ac.id/akademik/schedule/room-usage-report" TargetMode="External"/><Relationship Id="rId207" Type="http://schemas.openxmlformats.org/officeDocument/2006/relationships/hyperlink" Target="https://slcm.ui.ac.id/akademik/schedule/room-usage-report" TargetMode="External"/><Relationship Id="rId249" Type="http://schemas.openxmlformats.org/officeDocument/2006/relationships/hyperlink" Target="https://slcm.ui.ac.id/akademik/schedule/room-usage-report" TargetMode="External"/><Relationship Id="rId414" Type="http://schemas.openxmlformats.org/officeDocument/2006/relationships/hyperlink" Target="https://slcm.ui.ac.id/akademik/schedule/room-usage-report" TargetMode="External"/><Relationship Id="rId13" Type="http://schemas.openxmlformats.org/officeDocument/2006/relationships/hyperlink" Target="https://slcm.ui.ac.id/akademik/schedule/room-usage-report" TargetMode="External"/><Relationship Id="rId109" Type="http://schemas.openxmlformats.org/officeDocument/2006/relationships/hyperlink" Target="https://slcm.ui.ac.id/akademik/schedule/room-usage-report" TargetMode="External"/><Relationship Id="rId260" Type="http://schemas.openxmlformats.org/officeDocument/2006/relationships/hyperlink" Target="https://slcm.ui.ac.id/akademik/schedule/room-usage-report" TargetMode="External"/><Relationship Id="rId316" Type="http://schemas.openxmlformats.org/officeDocument/2006/relationships/hyperlink" Target="https://slcm.ui.ac.id/akademik/schedule/room-usage-report" TargetMode="External"/><Relationship Id="rId55" Type="http://schemas.openxmlformats.org/officeDocument/2006/relationships/hyperlink" Target="https://slcm.ui.ac.id/akademik/schedule/room-usage-report" TargetMode="External"/><Relationship Id="rId97" Type="http://schemas.openxmlformats.org/officeDocument/2006/relationships/hyperlink" Target="https://slcm.ui.ac.id/akademik/schedule/room-usage-report" TargetMode="External"/><Relationship Id="rId120" Type="http://schemas.openxmlformats.org/officeDocument/2006/relationships/hyperlink" Target="https://slcm.ui.ac.id/akademik/schedule/room-usage-report" TargetMode="External"/><Relationship Id="rId358" Type="http://schemas.openxmlformats.org/officeDocument/2006/relationships/hyperlink" Target="https://slcm.ui.ac.id/akademik/schedule/room-usage-report" TargetMode="External"/><Relationship Id="rId162" Type="http://schemas.openxmlformats.org/officeDocument/2006/relationships/hyperlink" Target="https://slcm.ui.ac.id/akademik/schedule/room-usage-report" TargetMode="External"/><Relationship Id="rId218" Type="http://schemas.openxmlformats.org/officeDocument/2006/relationships/hyperlink" Target="https://slcm.ui.ac.id/akademik/schedule/room-usage-report" TargetMode="External"/><Relationship Id="rId425" Type="http://schemas.openxmlformats.org/officeDocument/2006/relationships/hyperlink" Target="https://slcm.ui.ac.id/akademik/schedule/room-usage-report" TargetMode="External"/><Relationship Id="rId271" Type="http://schemas.openxmlformats.org/officeDocument/2006/relationships/hyperlink" Target="https://slcm.ui.ac.id/akademik/schedule/room-usage-report" TargetMode="External"/><Relationship Id="rId24" Type="http://schemas.openxmlformats.org/officeDocument/2006/relationships/hyperlink" Target="https://slcm.ui.ac.id/akademik/schedule/room-usage-report" TargetMode="External"/><Relationship Id="rId66" Type="http://schemas.openxmlformats.org/officeDocument/2006/relationships/hyperlink" Target="https://slcm.ui.ac.id/akademik/schedule/room-usage-report" TargetMode="External"/><Relationship Id="rId131" Type="http://schemas.openxmlformats.org/officeDocument/2006/relationships/hyperlink" Target="https://slcm.ui.ac.id/akademik/schedule/room-usage-report" TargetMode="External"/><Relationship Id="rId327" Type="http://schemas.openxmlformats.org/officeDocument/2006/relationships/hyperlink" Target="https://slcm.ui.ac.id/akademik/schedule/room-usage-report" TargetMode="External"/><Relationship Id="rId369" Type="http://schemas.openxmlformats.org/officeDocument/2006/relationships/hyperlink" Target="https://slcm.ui.ac.id/akademik/schedule/room-usage-report" TargetMode="External"/><Relationship Id="rId173" Type="http://schemas.openxmlformats.org/officeDocument/2006/relationships/hyperlink" Target="https://slcm.ui.ac.id/akademik/schedule/room-usage-report" TargetMode="External"/><Relationship Id="rId229" Type="http://schemas.openxmlformats.org/officeDocument/2006/relationships/hyperlink" Target="https://slcm.ui.ac.id/akademik/schedule/room-usage-report" TargetMode="External"/><Relationship Id="rId380" Type="http://schemas.openxmlformats.org/officeDocument/2006/relationships/hyperlink" Target="https://slcm.ui.ac.id/akademik/schedule/room-usage-report" TargetMode="External"/><Relationship Id="rId436" Type="http://schemas.openxmlformats.org/officeDocument/2006/relationships/hyperlink" Target="https://slcm.ui.ac.id/akademik/schedule/room-usage-report" TargetMode="External"/><Relationship Id="rId240" Type="http://schemas.openxmlformats.org/officeDocument/2006/relationships/hyperlink" Target="https://slcm.ui.ac.id/akademik/schedule/room-usage-report" TargetMode="External"/><Relationship Id="rId35" Type="http://schemas.openxmlformats.org/officeDocument/2006/relationships/hyperlink" Target="https://slcm.ui.ac.id/akademik/schedule/room-usage-report" TargetMode="External"/><Relationship Id="rId77" Type="http://schemas.openxmlformats.org/officeDocument/2006/relationships/hyperlink" Target="https://slcm.ui.ac.id/akademik/schedule/room-usage-report" TargetMode="External"/><Relationship Id="rId100" Type="http://schemas.openxmlformats.org/officeDocument/2006/relationships/hyperlink" Target="https://slcm.ui.ac.id/akademik/schedule/room-usage-report" TargetMode="External"/><Relationship Id="rId282" Type="http://schemas.openxmlformats.org/officeDocument/2006/relationships/hyperlink" Target="https://slcm.ui.ac.id/akademik/schedule/room-usage-report" TargetMode="External"/><Relationship Id="rId338" Type="http://schemas.openxmlformats.org/officeDocument/2006/relationships/hyperlink" Target="https://slcm.ui.ac.id/akademik/schedule/room-usage-report" TargetMode="External"/><Relationship Id="rId8" Type="http://schemas.openxmlformats.org/officeDocument/2006/relationships/hyperlink" Target="https://slcm.ui.ac.id/akademik/schedule/room-usage-report" TargetMode="External"/><Relationship Id="rId142" Type="http://schemas.openxmlformats.org/officeDocument/2006/relationships/hyperlink" Target="https://slcm.ui.ac.id/akademik/schedule/room-usage-report" TargetMode="External"/><Relationship Id="rId184" Type="http://schemas.openxmlformats.org/officeDocument/2006/relationships/hyperlink" Target="https://slcm.ui.ac.id/akademik/schedule/room-usage-report" TargetMode="External"/><Relationship Id="rId391" Type="http://schemas.openxmlformats.org/officeDocument/2006/relationships/hyperlink" Target="https://slcm.ui.ac.id/akademik/schedule/room-usage-report" TargetMode="External"/><Relationship Id="rId405" Type="http://schemas.openxmlformats.org/officeDocument/2006/relationships/hyperlink" Target="https://slcm.ui.ac.id/akademik/schedule/room-usage-report" TargetMode="External"/><Relationship Id="rId447" Type="http://schemas.openxmlformats.org/officeDocument/2006/relationships/hyperlink" Target="https://slcm.ui.ac.id/akademik/schedule/room-usage-report" TargetMode="External"/><Relationship Id="rId251" Type="http://schemas.openxmlformats.org/officeDocument/2006/relationships/hyperlink" Target="https://slcm.ui.ac.id/akademik/schedule/room-usage-report" TargetMode="External"/><Relationship Id="rId46" Type="http://schemas.openxmlformats.org/officeDocument/2006/relationships/hyperlink" Target="https://slcm.ui.ac.id/akademik/schedule/room-usage-report" TargetMode="External"/><Relationship Id="rId293" Type="http://schemas.openxmlformats.org/officeDocument/2006/relationships/hyperlink" Target="https://slcm.ui.ac.id/akademik/schedule/room-usage-report" TargetMode="External"/><Relationship Id="rId307" Type="http://schemas.openxmlformats.org/officeDocument/2006/relationships/hyperlink" Target="https://slcm.ui.ac.id/akademik/schedule/room-usage-report" TargetMode="External"/><Relationship Id="rId349" Type="http://schemas.openxmlformats.org/officeDocument/2006/relationships/hyperlink" Target="https://slcm.ui.ac.id/akademik/schedule/room-usage-report" TargetMode="External"/><Relationship Id="rId88" Type="http://schemas.openxmlformats.org/officeDocument/2006/relationships/hyperlink" Target="https://slcm.ui.ac.id/akademik/schedule/room-usage-report" TargetMode="External"/><Relationship Id="rId111" Type="http://schemas.openxmlformats.org/officeDocument/2006/relationships/hyperlink" Target="https://slcm.ui.ac.id/akademik/schedule/room-usage-report" TargetMode="External"/><Relationship Id="rId153" Type="http://schemas.openxmlformats.org/officeDocument/2006/relationships/hyperlink" Target="https://slcm.ui.ac.id/akademik/schedule/room-usage-report" TargetMode="External"/><Relationship Id="rId195" Type="http://schemas.openxmlformats.org/officeDocument/2006/relationships/hyperlink" Target="https://slcm.ui.ac.id/akademik/schedule/room-usage-report" TargetMode="External"/><Relationship Id="rId209" Type="http://schemas.openxmlformats.org/officeDocument/2006/relationships/hyperlink" Target="https://slcm.ui.ac.id/akademik/schedule/room-usage-report" TargetMode="External"/><Relationship Id="rId360" Type="http://schemas.openxmlformats.org/officeDocument/2006/relationships/hyperlink" Target="https://slcm.ui.ac.id/akademik/schedule/room-usage-report" TargetMode="External"/><Relationship Id="rId416" Type="http://schemas.openxmlformats.org/officeDocument/2006/relationships/hyperlink" Target="https://slcm.ui.ac.id/akademik/schedule/room-usage-report" TargetMode="External"/><Relationship Id="rId220" Type="http://schemas.openxmlformats.org/officeDocument/2006/relationships/hyperlink" Target="https://slcm.ui.ac.id/akademik/schedule/room-usage-report" TargetMode="External"/><Relationship Id="rId15" Type="http://schemas.openxmlformats.org/officeDocument/2006/relationships/hyperlink" Target="https://slcm.ui.ac.id/akademik/schedule/room-usage-report" TargetMode="External"/><Relationship Id="rId57" Type="http://schemas.openxmlformats.org/officeDocument/2006/relationships/hyperlink" Target="https://slcm.ui.ac.id/akademik/schedule/room-usage-report" TargetMode="External"/><Relationship Id="rId262" Type="http://schemas.openxmlformats.org/officeDocument/2006/relationships/hyperlink" Target="https://slcm.ui.ac.id/akademik/schedule/room-usage-report" TargetMode="External"/><Relationship Id="rId318" Type="http://schemas.openxmlformats.org/officeDocument/2006/relationships/hyperlink" Target="https://slcm.ui.ac.id/akademik/schedule/room-usage-report" TargetMode="External"/><Relationship Id="rId99" Type="http://schemas.openxmlformats.org/officeDocument/2006/relationships/hyperlink" Target="https://slcm.ui.ac.id/akademik/schedule/room-usage-report" TargetMode="External"/><Relationship Id="rId122" Type="http://schemas.openxmlformats.org/officeDocument/2006/relationships/hyperlink" Target="https://slcm.ui.ac.id/akademik/schedule/room-usage-report" TargetMode="External"/><Relationship Id="rId164" Type="http://schemas.openxmlformats.org/officeDocument/2006/relationships/hyperlink" Target="https://slcm.ui.ac.id/akademik/schedule/room-usage-report" TargetMode="External"/><Relationship Id="rId371" Type="http://schemas.openxmlformats.org/officeDocument/2006/relationships/hyperlink" Target="https://slcm.ui.ac.id/akademik/schedule/room-usage-report" TargetMode="External"/><Relationship Id="rId427" Type="http://schemas.openxmlformats.org/officeDocument/2006/relationships/hyperlink" Target="https://slcm.ui.ac.id/akademik/schedule/room-usage-report" TargetMode="External"/><Relationship Id="rId26" Type="http://schemas.openxmlformats.org/officeDocument/2006/relationships/hyperlink" Target="https://slcm.ui.ac.id/akademik/schedule/room-usage-report" TargetMode="External"/><Relationship Id="rId231" Type="http://schemas.openxmlformats.org/officeDocument/2006/relationships/hyperlink" Target="https://slcm.ui.ac.id/akademik/schedule/room-usage-report" TargetMode="External"/><Relationship Id="rId273" Type="http://schemas.openxmlformats.org/officeDocument/2006/relationships/hyperlink" Target="https://slcm.ui.ac.id/akademik/schedule/room-usage-report" TargetMode="External"/><Relationship Id="rId329" Type="http://schemas.openxmlformats.org/officeDocument/2006/relationships/hyperlink" Target="https://slcm.ui.ac.id/akademik/schedule/room-usage-report" TargetMode="External"/><Relationship Id="rId68" Type="http://schemas.openxmlformats.org/officeDocument/2006/relationships/hyperlink" Target="https://slcm.ui.ac.id/akademik/schedule/room-usage-report" TargetMode="External"/><Relationship Id="rId133" Type="http://schemas.openxmlformats.org/officeDocument/2006/relationships/hyperlink" Target="https://slcm.ui.ac.id/akademik/schedule/room-usage-report" TargetMode="External"/><Relationship Id="rId175" Type="http://schemas.openxmlformats.org/officeDocument/2006/relationships/hyperlink" Target="https://slcm.ui.ac.id/akademik/schedule/room-usage-report" TargetMode="External"/><Relationship Id="rId340" Type="http://schemas.openxmlformats.org/officeDocument/2006/relationships/hyperlink" Target="https://slcm.ui.ac.id/akademik/schedule/room-usage-report" TargetMode="External"/><Relationship Id="rId200" Type="http://schemas.openxmlformats.org/officeDocument/2006/relationships/hyperlink" Target="https://slcm.ui.ac.id/akademik/schedule/room-usage-report" TargetMode="External"/><Relationship Id="rId382" Type="http://schemas.openxmlformats.org/officeDocument/2006/relationships/hyperlink" Target="https://slcm.ui.ac.id/akademik/schedule/room-usage-report" TargetMode="External"/><Relationship Id="rId438" Type="http://schemas.openxmlformats.org/officeDocument/2006/relationships/hyperlink" Target="https://slcm.ui.ac.id/akademik/schedule/room-usage-report" TargetMode="External"/><Relationship Id="rId242" Type="http://schemas.openxmlformats.org/officeDocument/2006/relationships/hyperlink" Target="https://slcm.ui.ac.id/akademik/schedule/room-usage-report" TargetMode="External"/><Relationship Id="rId284" Type="http://schemas.openxmlformats.org/officeDocument/2006/relationships/hyperlink" Target="https://slcm.ui.ac.id/akademik/schedule/room-usage-report" TargetMode="External"/><Relationship Id="rId37" Type="http://schemas.openxmlformats.org/officeDocument/2006/relationships/hyperlink" Target="https://slcm.ui.ac.id/akademik/schedule/room-usage-report" TargetMode="External"/><Relationship Id="rId79" Type="http://schemas.openxmlformats.org/officeDocument/2006/relationships/hyperlink" Target="https://slcm.ui.ac.id/akademik/schedule/room-usage-report" TargetMode="External"/><Relationship Id="rId102" Type="http://schemas.openxmlformats.org/officeDocument/2006/relationships/hyperlink" Target="https://slcm.ui.ac.id/akademik/schedule/room-usage-report" TargetMode="External"/><Relationship Id="rId144" Type="http://schemas.openxmlformats.org/officeDocument/2006/relationships/hyperlink" Target="https://slcm.ui.ac.id/akademik/schedule/room-usage-report" TargetMode="External"/><Relationship Id="rId90" Type="http://schemas.openxmlformats.org/officeDocument/2006/relationships/hyperlink" Target="https://slcm.ui.ac.id/akademik/schedule/room-usage-report" TargetMode="External"/><Relationship Id="rId186" Type="http://schemas.openxmlformats.org/officeDocument/2006/relationships/hyperlink" Target="https://slcm.ui.ac.id/akademik/schedule/room-usage-report" TargetMode="External"/><Relationship Id="rId351" Type="http://schemas.openxmlformats.org/officeDocument/2006/relationships/hyperlink" Target="https://slcm.ui.ac.id/akademik/schedule/room-usage-report" TargetMode="External"/><Relationship Id="rId393" Type="http://schemas.openxmlformats.org/officeDocument/2006/relationships/hyperlink" Target="https://slcm.ui.ac.id/akademik/schedule/room-usage-report" TargetMode="External"/><Relationship Id="rId407" Type="http://schemas.openxmlformats.org/officeDocument/2006/relationships/hyperlink" Target="https://slcm.ui.ac.id/akademik/schedule/room-usage-report" TargetMode="External"/><Relationship Id="rId449" Type="http://schemas.openxmlformats.org/officeDocument/2006/relationships/hyperlink" Target="https://slcm.ui.ac.id/akademik/schedule/room-usage-report" TargetMode="External"/><Relationship Id="rId211" Type="http://schemas.openxmlformats.org/officeDocument/2006/relationships/hyperlink" Target="https://slcm.ui.ac.id/akademik/schedule/room-usage-report" TargetMode="External"/><Relationship Id="rId253" Type="http://schemas.openxmlformats.org/officeDocument/2006/relationships/hyperlink" Target="https://slcm.ui.ac.id/akademik/schedule/room-usage-report" TargetMode="External"/><Relationship Id="rId295" Type="http://schemas.openxmlformats.org/officeDocument/2006/relationships/hyperlink" Target="https://slcm.ui.ac.id/akademik/schedule/room-usage-report" TargetMode="External"/><Relationship Id="rId309" Type="http://schemas.openxmlformats.org/officeDocument/2006/relationships/hyperlink" Target="https://slcm.ui.ac.id/akademik/schedule/room-usage-report" TargetMode="External"/><Relationship Id="rId48" Type="http://schemas.openxmlformats.org/officeDocument/2006/relationships/hyperlink" Target="https://slcm.ui.ac.id/akademik/schedule/room-usage-report" TargetMode="External"/><Relationship Id="rId113" Type="http://schemas.openxmlformats.org/officeDocument/2006/relationships/hyperlink" Target="https://slcm.ui.ac.id/akademik/schedule/room-usage-report" TargetMode="External"/><Relationship Id="rId320" Type="http://schemas.openxmlformats.org/officeDocument/2006/relationships/hyperlink" Target="https://slcm.ui.ac.id/akademik/schedule/room-usage-report" TargetMode="External"/><Relationship Id="rId155" Type="http://schemas.openxmlformats.org/officeDocument/2006/relationships/hyperlink" Target="https://slcm.ui.ac.id/akademik/schedule/room-usage-report" TargetMode="External"/><Relationship Id="rId197" Type="http://schemas.openxmlformats.org/officeDocument/2006/relationships/hyperlink" Target="https://slcm.ui.ac.id/akademik/schedule/room-usage-report" TargetMode="External"/><Relationship Id="rId362" Type="http://schemas.openxmlformats.org/officeDocument/2006/relationships/hyperlink" Target="https://slcm.ui.ac.id/akademik/schedule/room-usage-report" TargetMode="External"/><Relationship Id="rId418" Type="http://schemas.openxmlformats.org/officeDocument/2006/relationships/hyperlink" Target="https://slcm.ui.ac.id/akademik/schedule/room-usage-report" TargetMode="External"/><Relationship Id="rId222" Type="http://schemas.openxmlformats.org/officeDocument/2006/relationships/hyperlink" Target="https://slcm.ui.ac.id/akademik/schedule/room-usage-report" TargetMode="External"/><Relationship Id="rId264" Type="http://schemas.openxmlformats.org/officeDocument/2006/relationships/hyperlink" Target="https://slcm.ui.ac.id/akademik/schedule/room-usage-report" TargetMode="External"/><Relationship Id="rId17" Type="http://schemas.openxmlformats.org/officeDocument/2006/relationships/hyperlink" Target="https://slcm.ui.ac.id/akademik/schedule/room-usage-report" TargetMode="External"/><Relationship Id="rId59" Type="http://schemas.openxmlformats.org/officeDocument/2006/relationships/hyperlink" Target="https://slcm.ui.ac.id/akademik/schedule/room-usage-report" TargetMode="External"/><Relationship Id="rId124" Type="http://schemas.openxmlformats.org/officeDocument/2006/relationships/hyperlink" Target="https://slcm.ui.ac.id/akademik/schedule/room-usage-report" TargetMode="External"/><Relationship Id="rId70" Type="http://schemas.openxmlformats.org/officeDocument/2006/relationships/hyperlink" Target="https://slcm.ui.ac.id/akademik/schedule/room-usage-report" TargetMode="External"/><Relationship Id="rId166" Type="http://schemas.openxmlformats.org/officeDocument/2006/relationships/hyperlink" Target="https://slcm.ui.ac.id/akademik/schedule/room-usage-report" TargetMode="External"/><Relationship Id="rId331" Type="http://schemas.openxmlformats.org/officeDocument/2006/relationships/hyperlink" Target="https://slcm.ui.ac.id/akademik/schedule/room-usage-report" TargetMode="External"/><Relationship Id="rId373" Type="http://schemas.openxmlformats.org/officeDocument/2006/relationships/hyperlink" Target="https://slcm.ui.ac.id/akademik/schedule/room-usage-report" TargetMode="External"/><Relationship Id="rId429" Type="http://schemas.openxmlformats.org/officeDocument/2006/relationships/hyperlink" Target="https://slcm.ui.ac.id/akademik/schedule/room-usage-report" TargetMode="External"/><Relationship Id="rId1" Type="http://schemas.openxmlformats.org/officeDocument/2006/relationships/hyperlink" Target="https://slcm.ui.ac.id/akademik/schedule/room-usage-report" TargetMode="External"/><Relationship Id="rId233" Type="http://schemas.openxmlformats.org/officeDocument/2006/relationships/hyperlink" Target="https://slcm.ui.ac.id/akademik/schedule/room-usage-report" TargetMode="External"/><Relationship Id="rId440" Type="http://schemas.openxmlformats.org/officeDocument/2006/relationships/hyperlink" Target="https://slcm.ui.ac.id/akademik/schedule/room-usage-report" TargetMode="External"/><Relationship Id="rId28" Type="http://schemas.openxmlformats.org/officeDocument/2006/relationships/hyperlink" Target="https://slcm.ui.ac.id/akademik/schedule/room-usage-report" TargetMode="External"/><Relationship Id="rId275" Type="http://schemas.openxmlformats.org/officeDocument/2006/relationships/hyperlink" Target="https://slcm.ui.ac.id/akademik/schedule/room-usage-report" TargetMode="External"/><Relationship Id="rId300" Type="http://schemas.openxmlformats.org/officeDocument/2006/relationships/hyperlink" Target="https://slcm.ui.ac.id/akademik/schedule/room-usage-report" TargetMode="External"/><Relationship Id="rId81" Type="http://schemas.openxmlformats.org/officeDocument/2006/relationships/hyperlink" Target="https://slcm.ui.ac.id/akademik/schedule/room-usage-report" TargetMode="External"/><Relationship Id="rId135" Type="http://schemas.openxmlformats.org/officeDocument/2006/relationships/hyperlink" Target="https://slcm.ui.ac.id/akademik/schedule/room-usage-report" TargetMode="External"/><Relationship Id="rId177" Type="http://schemas.openxmlformats.org/officeDocument/2006/relationships/hyperlink" Target="https://slcm.ui.ac.id/akademik/schedule/room-usage-report" TargetMode="External"/><Relationship Id="rId342" Type="http://schemas.openxmlformats.org/officeDocument/2006/relationships/hyperlink" Target="https://slcm.ui.ac.id/akademik/schedule/room-usage-report" TargetMode="External"/><Relationship Id="rId384" Type="http://schemas.openxmlformats.org/officeDocument/2006/relationships/hyperlink" Target="https://slcm.ui.ac.id/akademik/schedule/room-usage-report" TargetMode="External"/><Relationship Id="rId202" Type="http://schemas.openxmlformats.org/officeDocument/2006/relationships/hyperlink" Target="https://slcm.ui.ac.id/akademik/schedule/room-usage-report" TargetMode="External"/><Relationship Id="rId244" Type="http://schemas.openxmlformats.org/officeDocument/2006/relationships/hyperlink" Target="https://slcm.ui.ac.id/akademik/schedule/room-usage-report" TargetMode="External"/><Relationship Id="rId39" Type="http://schemas.openxmlformats.org/officeDocument/2006/relationships/hyperlink" Target="https://slcm.ui.ac.id/akademik/schedule/room-usage-report" TargetMode="External"/><Relationship Id="rId286" Type="http://schemas.openxmlformats.org/officeDocument/2006/relationships/hyperlink" Target="https://slcm.ui.ac.id/akademik/schedule/room-usage-report" TargetMode="External"/><Relationship Id="rId451" Type="http://schemas.openxmlformats.org/officeDocument/2006/relationships/hyperlink" Target="https://slcm.ui.ac.id/akademik/schedule/room-usage-report" TargetMode="External"/><Relationship Id="rId50" Type="http://schemas.openxmlformats.org/officeDocument/2006/relationships/hyperlink" Target="https://slcm.ui.ac.id/akademik/schedule/room-usage-report" TargetMode="External"/><Relationship Id="rId104" Type="http://schemas.openxmlformats.org/officeDocument/2006/relationships/hyperlink" Target="https://slcm.ui.ac.id/akademik/schedule/room-usage-report" TargetMode="External"/><Relationship Id="rId146" Type="http://schemas.openxmlformats.org/officeDocument/2006/relationships/hyperlink" Target="https://slcm.ui.ac.id/akademik/schedule/room-usage-report" TargetMode="External"/><Relationship Id="rId188" Type="http://schemas.openxmlformats.org/officeDocument/2006/relationships/hyperlink" Target="https://slcm.ui.ac.id/akademik/schedule/room-usage-report" TargetMode="External"/><Relationship Id="rId311" Type="http://schemas.openxmlformats.org/officeDocument/2006/relationships/hyperlink" Target="https://slcm.ui.ac.id/akademik/schedule/room-usage-report" TargetMode="External"/><Relationship Id="rId353" Type="http://schemas.openxmlformats.org/officeDocument/2006/relationships/hyperlink" Target="https://slcm.ui.ac.id/akademik/schedule/room-usage-report" TargetMode="External"/><Relationship Id="rId395" Type="http://schemas.openxmlformats.org/officeDocument/2006/relationships/hyperlink" Target="https://slcm.ui.ac.id/akademik/schedule/room-usage-report" TargetMode="External"/><Relationship Id="rId409" Type="http://schemas.openxmlformats.org/officeDocument/2006/relationships/hyperlink" Target="https://slcm.ui.ac.id/akademik/schedule/room-usage-repor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slcm.ui.ac.id/akademik/schedule/room-usage-report" TargetMode="External"/><Relationship Id="rId21" Type="http://schemas.openxmlformats.org/officeDocument/2006/relationships/hyperlink" Target="https://slcm.ui.ac.id/akademik/schedule/room-usage-report" TargetMode="External"/><Relationship Id="rId42" Type="http://schemas.openxmlformats.org/officeDocument/2006/relationships/hyperlink" Target="https://slcm.ui.ac.id/akademik/schedule/room-usage-report" TargetMode="External"/><Relationship Id="rId47" Type="http://schemas.openxmlformats.org/officeDocument/2006/relationships/hyperlink" Target="https://slcm.ui.ac.id/akademik/schedule/room-usage-report" TargetMode="External"/><Relationship Id="rId63" Type="http://schemas.openxmlformats.org/officeDocument/2006/relationships/hyperlink" Target="https://slcm.ui.ac.id/akademik/schedule/room-usage-report" TargetMode="External"/><Relationship Id="rId68" Type="http://schemas.openxmlformats.org/officeDocument/2006/relationships/hyperlink" Target="https://slcm.ui.ac.id/akademik/schedule/room-usage-report" TargetMode="External"/><Relationship Id="rId84" Type="http://schemas.openxmlformats.org/officeDocument/2006/relationships/hyperlink" Target="https://slcm.ui.ac.id/akademik/schedule/room-usage-report" TargetMode="External"/><Relationship Id="rId89" Type="http://schemas.openxmlformats.org/officeDocument/2006/relationships/hyperlink" Target="https://slcm.ui.ac.id/akademik/schedule/room-usage-report" TargetMode="External"/><Relationship Id="rId16" Type="http://schemas.openxmlformats.org/officeDocument/2006/relationships/hyperlink" Target="https://slcm.ui.ac.id/akademik/schedule/room-usage-report" TargetMode="External"/><Relationship Id="rId107" Type="http://schemas.openxmlformats.org/officeDocument/2006/relationships/hyperlink" Target="https://slcm.ui.ac.id/akademik/schedule/room-usage-report" TargetMode="External"/><Relationship Id="rId11" Type="http://schemas.openxmlformats.org/officeDocument/2006/relationships/hyperlink" Target="https://slcm.ui.ac.id/akademik/schedule/room-usage-report" TargetMode="External"/><Relationship Id="rId32" Type="http://schemas.openxmlformats.org/officeDocument/2006/relationships/hyperlink" Target="https://slcm.ui.ac.id/akademik/schedule/room-usage-report" TargetMode="External"/><Relationship Id="rId37" Type="http://schemas.openxmlformats.org/officeDocument/2006/relationships/hyperlink" Target="https://slcm.ui.ac.id/akademik/schedule/room-usage-report" TargetMode="External"/><Relationship Id="rId53" Type="http://schemas.openxmlformats.org/officeDocument/2006/relationships/hyperlink" Target="https://slcm.ui.ac.id/akademik/schedule/room-usage-report" TargetMode="External"/><Relationship Id="rId58" Type="http://schemas.openxmlformats.org/officeDocument/2006/relationships/hyperlink" Target="https://slcm.ui.ac.id/akademik/schedule/room-usage-report" TargetMode="External"/><Relationship Id="rId74" Type="http://schemas.openxmlformats.org/officeDocument/2006/relationships/hyperlink" Target="https://slcm.ui.ac.id/akademik/schedule/room-usage-report" TargetMode="External"/><Relationship Id="rId79" Type="http://schemas.openxmlformats.org/officeDocument/2006/relationships/hyperlink" Target="https://slcm.ui.ac.id/akademik/schedule/room-usage-report" TargetMode="External"/><Relationship Id="rId102" Type="http://schemas.openxmlformats.org/officeDocument/2006/relationships/hyperlink" Target="https://slcm.ui.ac.id/akademik/schedule/room-usage-report" TargetMode="External"/><Relationship Id="rId5" Type="http://schemas.openxmlformats.org/officeDocument/2006/relationships/hyperlink" Target="https://slcm.ui.ac.id/akademik/schedule/room-usage-report" TargetMode="External"/><Relationship Id="rId90" Type="http://schemas.openxmlformats.org/officeDocument/2006/relationships/hyperlink" Target="https://slcm.ui.ac.id/akademik/schedule/room-usage-report" TargetMode="External"/><Relationship Id="rId95" Type="http://schemas.openxmlformats.org/officeDocument/2006/relationships/hyperlink" Target="https://slcm.ui.ac.id/akademik/schedule/room-usage-report" TargetMode="External"/><Relationship Id="rId22" Type="http://schemas.openxmlformats.org/officeDocument/2006/relationships/hyperlink" Target="https://slcm.ui.ac.id/akademik/schedule/room-usage-report" TargetMode="External"/><Relationship Id="rId27" Type="http://schemas.openxmlformats.org/officeDocument/2006/relationships/hyperlink" Target="https://slcm.ui.ac.id/akademik/schedule/room-usage-report" TargetMode="External"/><Relationship Id="rId43" Type="http://schemas.openxmlformats.org/officeDocument/2006/relationships/hyperlink" Target="https://slcm.ui.ac.id/akademik/schedule/room-usage-report" TargetMode="External"/><Relationship Id="rId48" Type="http://schemas.openxmlformats.org/officeDocument/2006/relationships/hyperlink" Target="https://slcm.ui.ac.id/akademik/schedule/room-usage-report" TargetMode="External"/><Relationship Id="rId64" Type="http://schemas.openxmlformats.org/officeDocument/2006/relationships/hyperlink" Target="https://slcm.ui.ac.id/akademik/schedule/room-usage-report" TargetMode="External"/><Relationship Id="rId69" Type="http://schemas.openxmlformats.org/officeDocument/2006/relationships/hyperlink" Target="https://slcm.ui.ac.id/akademik/schedule/room-usage-report" TargetMode="External"/><Relationship Id="rId80" Type="http://schemas.openxmlformats.org/officeDocument/2006/relationships/hyperlink" Target="https://slcm.ui.ac.id/akademik/schedule/room-usage-report" TargetMode="External"/><Relationship Id="rId85" Type="http://schemas.openxmlformats.org/officeDocument/2006/relationships/hyperlink" Target="https://slcm.ui.ac.id/akademik/schedule/room-usage-report" TargetMode="External"/><Relationship Id="rId12" Type="http://schemas.openxmlformats.org/officeDocument/2006/relationships/hyperlink" Target="https://slcm.ui.ac.id/akademik/schedule/room-usage-report" TargetMode="External"/><Relationship Id="rId17" Type="http://schemas.openxmlformats.org/officeDocument/2006/relationships/hyperlink" Target="https://slcm.ui.ac.id/akademik/schedule/room-usage-report" TargetMode="External"/><Relationship Id="rId33" Type="http://schemas.openxmlformats.org/officeDocument/2006/relationships/hyperlink" Target="https://slcm.ui.ac.id/akademik/schedule/room-usage-report" TargetMode="External"/><Relationship Id="rId38" Type="http://schemas.openxmlformats.org/officeDocument/2006/relationships/hyperlink" Target="https://slcm.ui.ac.id/akademik/schedule/room-usage-report" TargetMode="External"/><Relationship Id="rId59" Type="http://schemas.openxmlformats.org/officeDocument/2006/relationships/hyperlink" Target="https://slcm.ui.ac.id/akademik/schedule/room-usage-report" TargetMode="External"/><Relationship Id="rId103" Type="http://schemas.openxmlformats.org/officeDocument/2006/relationships/hyperlink" Target="https://slcm.ui.ac.id/akademik/schedule/room-usage-report" TargetMode="External"/><Relationship Id="rId108" Type="http://schemas.openxmlformats.org/officeDocument/2006/relationships/hyperlink" Target="https://slcm.ui.ac.id/akademik/schedule/room-usage-report" TargetMode="External"/><Relationship Id="rId54" Type="http://schemas.openxmlformats.org/officeDocument/2006/relationships/hyperlink" Target="https://slcm.ui.ac.id/akademik/schedule/room-usage-report" TargetMode="External"/><Relationship Id="rId70" Type="http://schemas.openxmlformats.org/officeDocument/2006/relationships/hyperlink" Target="https://slcm.ui.ac.id/akademik/schedule/room-usage-report" TargetMode="External"/><Relationship Id="rId75" Type="http://schemas.openxmlformats.org/officeDocument/2006/relationships/hyperlink" Target="https://slcm.ui.ac.id/akademik/schedule/room-usage-report" TargetMode="External"/><Relationship Id="rId91" Type="http://schemas.openxmlformats.org/officeDocument/2006/relationships/hyperlink" Target="https://slcm.ui.ac.id/akademik/schedule/room-usage-report" TargetMode="External"/><Relationship Id="rId96" Type="http://schemas.openxmlformats.org/officeDocument/2006/relationships/hyperlink" Target="https://slcm.ui.ac.id/akademik/schedule/room-usage-report" TargetMode="External"/><Relationship Id="rId1" Type="http://schemas.openxmlformats.org/officeDocument/2006/relationships/hyperlink" Target="https://slcm.ui.ac.id/akademik/schedule/room-usage-report" TargetMode="External"/><Relationship Id="rId6" Type="http://schemas.openxmlformats.org/officeDocument/2006/relationships/hyperlink" Target="https://slcm.ui.ac.id/akademik/schedule/room-usage-report" TargetMode="External"/><Relationship Id="rId15" Type="http://schemas.openxmlformats.org/officeDocument/2006/relationships/hyperlink" Target="https://slcm.ui.ac.id/akademik/schedule/room-usage-report" TargetMode="External"/><Relationship Id="rId23" Type="http://schemas.openxmlformats.org/officeDocument/2006/relationships/hyperlink" Target="https://slcm.ui.ac.id/akademik/schedule/room-usage-report" TargetMode="External"/><Relationship Id="rId28" Type="http://schemas.openxmlformats.org/officeDocument/2006/relationships/hyperlink" Target="https://slcm.ui.ac.id/akademik/schedule/room-usage-report" TargetMode="External"/><Relationship Id="rId36" Type="http://schemas.openxmlformats.org/officeDocument/2006/relationships/hyperlink" Target="https://slcm.ui.ac.id/akademik/schedule/room-usage-report" TargetMode="External"/><Relationship Id="rId49" Type="http://schemas.openxmlformats.org/officeDocument/2006/relationships/hyperlink" Target="https://slcm.ui.ac.id/akademik/schedule/room-usage-report" TargetMode="External"/><Relationship Id="rId57" Type="http://schemas.openxmlformats.org/officeDocument/2006/relationships/hyperlink" Target="https://slcm.ui.ac.id/akademik/schedule/room-usage-report" TargetMode="External"/><Relationship Id="rId106" Type="http://schemas.openxmlformats.org/officeDocument/2006/relationships/hyperlink" Target="https://slcm.ui.ac.id/akademik/schedule/room-usage-report" TargetMode="External"/><Relationship Id="rId10" Type="http://schemas.openxmlformats.org/officeDocument/2006/relationships/hyperlink" Target="https://slcm.ui.ac.id/akademik/schedule/room-usage-report" TargetMode="External"/><Relationship Id="rId31" Type="http://schemas.openxmlformats.org/officeDocument/2006/relationships/hyperlink" Target="https://slcm.ui.ac.id/akademik/schedule/room-usage-report" TargetMode="External"/><Relationship Id="rId44" Type="http://schemas.openxmlformats.org/officeDocument/2006/relationships/hyperlink" Target="https://slcm.ui.ac.id/akademik/schedule/room-usage-report" TargetMode="External"/><Relationship Id="rId52" Type="http://schemas.openxmlformats.org/officeDocument/2006/relationships/hyperlink" Target="https://slcm.ui.ac.id/akademik/schedule/room-usage-report" TargetMode="External"/><Relationship Id="rId60" Type="http://schemas.openxmlformats.org/officeDocument/2006/relationships/hyperlink" Target="https://slcm.ui.ac.id/akademik/schedule/room-usage-report" TargetMode="External"/><Relationship Id="rId65" Type="http://schemas.openxmlformats.org/officeDocument/2006/relationships/hyperlink" Target="https://slcm.ui.ac.id/akademik/schedule/room-usage-report" TargetMode="External"/><Relationship Id="rId73" Type="http://schemas.openxmlformats.org/officeDocument/2006/relationships/hyperlink" Target="https://slcm.ui.ac.id/akademik/schedule/room-usage-report" TargetMode="External"/><Relationship Id="rId78" Type="http://schemas.openxmlformats.org/officeDocument/2006/relationships/hyperlink" Target="https://slcm.ui.ac.id/akademik/schedule/room-usage-report" TargetMode="External"/><Relationship Id="rId81" Type="http://schemas.openxmlformats.org/officeDocument/2006/relationships/hyperlink" Target="https://slcm.ui.ac.id/akademik/schedule/room-usage-report" TargetMode="External"/><Relationship Id="rId86" Type="http://schemas.openxmlformats.org/officeDocument/2006/relationships/hyperlink" Target="https://slcm.ui.ac.id/akademik/schedule/room-usage-report" TargetMode="External"/><Relationship Id="rId94" Type="http://schemas.openxmlformats.org/officeDocument/2006/relationships/hyperlink" Target="https://slcm.ui.ac.id/akademik/schedule/room-usage-report" TargetMode="External"/><Relationship Id="rId99" Type="http://schemas.openxmlformats.org/officeDocument/2006/relationships/hyperlink" Target="https://slcm.ui.ac.id/akademik/schedule/room-usage-report" TargetMode="External"/><Relationship Id="rId101" Type="http://schemas.openxmlformats.org/officeDocument/2006/relationships/hyperlink" Target="https://slcm.ui.ac.id/akademik/schedule/room-usage-report" TargetMode="External"/><Relationship Id="rId4" Type="http://schemas.openxmlformats.org/officeDocument/2006/relationships/hyperlink" Target="https://slcm.ui.ac.id/akademik/schedule/room-usage-report" TargetMode="External"/><Relationship Id="rId9" Type="http://schemas.openxmlformats.org/officeDocument/2006/relationships/hyperlink" Target="https://slcm.ui.ac.id/akademik/schedule/room-usage-report" TargetMode="External"/><Relationship Id="rId13" Type="http://schemas.openxmlformats.org/officeDocument/2006/relationships/hyperlink" Target="https://slcm.ui.ac.id/akademik/schedule/room-usage-report" TargetMode="External"/><Relationship Id="rId18" Type="http://schemas.openxmlformats.org/officeDocument/2006/relationships/hyperlink" Target="https://slcm.ui.ac.id/akademik/schedule/room-usage-report" TargetMode="External"/><Relationship Id="rId39" Type="http://schemas.openxmlformats.org/officeDocument/2006/relationships/hyperlink" Target="https://slcm.ui.ac.id/akademik/schedule/room-usage-report" TargetMode="External"/><Relationship Id="rId109" Type="http://schemas.openxmlformats.org/officeDocument/2006/relationships/hyperlink" Target="https://slcm.ui.ac.id/akademik/schedule/room-usage-report" TargetMode="External"/><Relationship Id="rId34" Type="http://schemas.openxmlformats.org/officeDocument/2006/relationships/hyperlink" Target="https://slcm.ui.ac.id/akademik/schedule/room-usage-report" TargetMode="External"/><Relationship Id="rId50" Type="http://schemas.openxmlformats.org/officeDocument/2006/relationships/hyperlink" Target="https://slcm.ui.ac.id/akademik/schedule/room-usage-report" TargetMode="External"/><Relationship Id="rId55" Type="http://schemas.openxmlformats.org/officeDocument/2006/relationships/hyperlink" Target="https://slcm.ui.ac.id/akademik/schedule/room-usage-report" TargetMode="External"/><Relationship Id="rId76" Type="http://schemas.openxmlformats.org/officeDocument/2006/relationships/hyperlink" Target="https://slcm.ui.ac.id/akademik/schedule/room-usage-report" TargetMode="External"/><Relationship Id="rId97" Type="http://schemas.openxmlformats.org/officeDocument/2006/relationships/hyperlink" Target="https://slcm.ui.ac.id/akademik/schedule/room-usage-report" TargetMode="External"/><Relationship Id="rId104" Type="http://schemas.openxmlformats.org/officeDocument/2006/relationships/hyperlink" Target="https://slcm.ui.ac.id/akademik/schedule/room-usage-report" TargetMode="External"/><Relationship Id="rId7" Type="http://schemas.openxmlformats.org/officeDocument/2006/relationships/hyperlink" Target="https://slcm.ui.ac.id/akademik/schedule/room-usage-report" TargetMode="External"/><Relationship Id="rId71" Type="http://schemas.openxmlformats.org/officeDocument/2006/relationships/hyperlink" Target="https://slcm.ui.ac.id/akademik/schedule/room-usage-report" TargetMode="External"/><Relationship Id="rId92" Type="http://schemas.openxmlformats.org/officeDocument/2006/relationships/hyperlink" Target="https://slcm.ui.ac.id/akademik/schedule/room-usage-report" TargetMode="External"/><Relationship Id="rId2" Type="http://schemas.openxmlformats.org/officeDocument/2006/relationships/hyperlink" Target="https://slcm.ui.ac.id/akademik/schedule/room-usage-report" TargetMode="External"/><Relationship Id="rId29" Type="http://schemas.openxmlformats.org/officeDocument/2006/relationships/hyperlink" Target="https://slcm.ui.ac.id/akademik/schedule/room-usage-report" TargetMode="External"/><Relationship Id="rId24" Type="http://schemas.openxmlformats.org/officeDocument/2006/relationships/hyperlink" Target="https://slcm.ui.ac.id/akademik/schedule/room-usage-report" TargetMode="External"/><Relationship Id="rId40" Type="http://schemas.openxmlformats.org/officeDocument/2006/relationships/hyperlink" Target="https://slcm.ui.ac.id/akademik/schedule/room-usage-report" TargetMode="External"/><Relationship Id="rId45" Type="http://schemas.openxmlformats.org/officeDocument/2006/relationships/hyperlink" Target="https://slcm.ui.ac.id/akademik/schedule/room-usage-report" TargetMode="External"/><Relationship Id="rId66" Type="http://schemas.openxmlformats.org/officeDocument/2006/relationships/hyperlink" Target="https://slcm.ui.ac.id/akademik/schedule/room-usage-report" TargetMode="External"/><Relationship Id="rId87" Type="http://schemas.openxmlformats.org/officeDocument/2006/relationships/hyperlink" Target="https://slcm.ui.ac.id/akademik/schedule/room-usage-report" TargetMode="External"/><Relationship Id="rId110" Type="http://schemas.openxmlformats.org/officeDocument/2006/relationships/hyperlink" Target="https://slcm.ui.ac.id/akademik/schedule/room-usage-report" TargetMode="External"/><Relationship Id="rId61" Type="http://schemas.openxmlformats.org/officeDocument/2006/relationships/hyperlink" Target="https://slcm.ui.ac.id/akademik/schedule/room-usage-report" TargetMode="External"/><Relationship Id="rId82" Type="http://schemas.openxmlformats.org/officeDocument/2006/relationships/hyperlink" Target="https://slcm.ui.ac.id/akademik/schedule/room-usage-report" TargetMode="External"/><Relationship Id="rId19" Type="http://schemas.openxmlformats.org/officeDocument/2006/relationships/hyperlink" Target="https://slcm.ui.ac.id/akademik/schedule/room-usage-report" TargetMode="External"/><Relationship Id="rId14" Type="http://schemas.openxmlformats.org/officeDocument/2006/relationships/hyperlink" Target="https://slcm.ui.ac.id/akademik/schedule/room-usage-report" TargetMode="External"/><Relationship Id="rId30" Type="http://schemas.openxmlformats.org/officeDocument/2006/relationships/hyperlink" Target="https://slcm.ui.ac.id/akademik/schedule/room-usage-report" TargetMode="External"/><Relationship Id="rId35" Type="http://schemas.openxmlformats.org/officeDocument/2006/relationships/hyperlink" Target="https://slcm.ui.ac.id/akademik/schedule/room-usage-report" TargetMode="External"/><Relationship Id="rId56" Type="http://schemas.openxmlformats.org/officeDocument/2006/relationships/hyperlink" Target="https://slcm.ui.ac.id/akademik/schedule/room-usage-report" TargetMode="External"/><Relationship Id="rId77" Type="http://schemas.openxmlformats.org/officeDocument/2006/relationships/hyperlink" Target="https://slcm.ui.ac.id/akademik/schedule/room-usage-report" TargetMode="External"/><Relationship Id="rId100" Type="http://schemas.openxmlformats.org/officeDocument/2006/relationships/hyperlink" Target="https://slcm.ui.ac.id/akademik/schedule/room-usage-report" TargetMode="External"/><Relationship Id="rId105" Type="http://schemas.openxmlformats.org/officeDocument/2006/relationships/hyperlink" Target="https://slcm.ui.ac.id/akademik/schedule/room-usage-report" TargetMode="External"/><Relationship Id="rId8" Type="http://schemas.openxmlformats.org/officeDocument/2006/relationships/hyperlink" Target="https://slcm.ui.ac.id/akademik/schedule/room-usage-report" TargetMode="External"/><Relationship Id="rId51" Type="http://schemas.openxmlformats.org/officeDocument/2006/relationships/hyperlink" Target="https://slcm.ui.ac.id/akademik/schedule/room-usage-report" TargetMode="External"/><Relationship Id="rId72" Type="http://schemas.openxmlformats.org/officeDocument/2006/relationships/hyperlink" Target="https://slcm.ui.ac.id/akademik/schedule/room-usage-report" TargetMode="External"/><Relationship Id="rId93" Type="http://schemas.openxmlformats.org/officeDocument/2006/relationships/hyperlink" Target="https://slcm.ui.ac.id/akademik/schedule/room-usage-report" TargetMode="External"/><Relationship Id="rId98" Type="http://schemas.openxmlformats.org/officeDocument/2006/relationships/hyperlink" Target="https://slcm.ui.ac.id/akademik/schedule/room-usage-report" TargetMode="External"/><Relationship Id="rId3" Type="http://schemas.openxmlformats.org/officeDocument/2006/relationships/hyperlink" Target="https://slcm.ui.ac.id/akademik/schedule/room-usage-report" TargetMode="External"/><Relationship Id="rId25" Type="http://schemas.openxmlformats.org/officeDocument/2006/relationships/hyperlink" Target="https://slcm.ui.ac.id/akademik/schedule/room-usage-report" TargetMode="External"/><Relationship Id="rId46" Type="http://schemas.openxmlformats.org/officeDocument/2006/relationships/hyperlink" Target="https://slcm.ui.ac.id/akademik/schedule/room-usage-report" TargetMode="External"/><Relationship Id="rId67" Type="http://schemas.openxmlformats.org/officeDocument/2006/relationships/hyperlink" Target="https://slcm.ui.ac.id/akademik/schedule/room-usage-report" TargetMode="External"/><Relationship Id="rId20" Type="http://schemas.openxmlformats.org/officeDocument/2006/relationships/hyperlink" Target="https://slcm.ui.ac.id/akademik/schedule/room-usage-report" TargetMode="External"/><Relationship Id="rId41" Type="http://schemas.openxmlformats.org/officeDocument/2006/relationships/hyperlink" Target="https://slcm.ui.ac.id/akademik/schedule/room-usage-report" TargetMode="External"/><Relationship Id="rId62" Type="http://schemas.openxmlformats.org/officeDocument/2006/relationships/hyperlink" Target="https://slcm.ui.ac.id/akademik/schedule/room-usage-report" TargetMode="External"/><Relationship Id="rId83" Type="http://schemas.openxmlformats.org/officeDocument/2006/relationships/hyperlink" Target="https://slcm.ui.ac.id/akademik/schedule/room-usage-report" TargetMode="External"/><Relationship Id="rId88" Type="http://schemas.openxmlformats.org/officeDocument/2006/relationships/hyperlink" Target="https://slcm.ui.ac.id/akademik/schedule/room-usage-report" TargetMode="External"/><Relationship Id="rId111" Type="http://schemas.openxmlformats.org/officeDocument/2006/relationships/hyperlink" Target="https://slcm.ui.ac.id/akademik/schedule/room-usage-repo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350D-ED61-4E6E-98B8-6108338EADB0}">
  <sheetPr filterMode="1"/>
  <dimension ref="B1:N466"/>
  <sheetViews>
    <sheetView tabSelected="1" zoomScale="70" zoomScaleNormal="70" workbookViewId="0">
      <pane ySplit="1" topLeftCell="A5" activePane="bottomLeft" state="frozen"/>
      <selection pane="bottomLeft" activeCell="Q36" sqref="Q36"/>
    </sheetView>
  </sheetViews>
  <sheetFormatPr defaultRowHeight="14.4" x14ac:dyDescent="0.3"/>
  <cols>
    <col min="2" max="2" width="9.109375" style="4"/>
    <col min="3" max="3" width="26.44140625" style="4" customWidth="1"/>
    <col min="4" max="5" width="0" style="4" hidden="1" customWidth="1"/>
    <col min="6" max="6" width="20" hidden="1" customWidth="1"/>
    <col min="7" max="7" width="22.88671875" hidden="1" customWidth="1"/>
    <col min="8" max="8" width="50.88671875" style="9" customWidth="1"/>
    <col min="9" max="9" width="25.44140625" style="9" customWidth="1"/>
    <col min="10" max="10" width="45.21875" hidden="1" customWidth="1"/>
    <col min="11" max="11" width="25" hidden="1" customWidth="1"/>
    <col min="12" max="13" width="25" customWidth="1"/>
    <col min="14" max="14" width="29.109375" customWidth="1"/>
  </cols>
  <sheetData>
    <row r="1" spans="2:14" ht="30" customHeight="1" x14ac:dyDescent="0.3">
      <c r="B1" s="8" t="s">
        <v>620</v>
      </c>
      <c r="C1" s="8" t="s">
        <v>621</v>
      </c>
      <c r="D1" s="8" t="s">
        <v>622</v>
      </c>
      <c r="E1" s="8" t="s">
        <v>623</v>
      </c>
      <c r="F1" s="8" t="s">
        <v>624</v>
      </c>
      <c r="G1" s="8" t="s">
        <v>625</v>
      </c>
      <c r="H1" s="8" t="s">
        <v>626</v>
      </c>
      <c r="I1" s="8" t="s">
        <v>627</v>
      </c>
      <c r="J1" s="8" t="s">
        <v>628</v>
      </c>
      <c r="K1" s="8" t="s">
        <v>629</v>
      </c>
      <c r="L1" s="8" t="s">
        <v>632</v>
      </c>
      <c r="M1" s="8" t="s">
        <v>631</v>
      </c>
      <c r="N1" s="8" t="s">
        <v>630</v>
      </c>
    </row>
    <row r="2" spans="2:14" ht="30" hidden="1" customHeight="1" x14ac:dyDescent="0.3">
      <c r="B2" s="5">
        <v>21</v>
      </c>
      <c r="C2" s="5" t="s">
        <v>390</v>
      </c>
      <c r="D2" s="5">
        <v>75</v>
      </c>
      <c r="E2" s="5">
        <v>44</v>
      </c>
      <c r="F2" s="7" t="s">
        <v>397</v>
      </c>
      <c r="G2" s="7" t="s">
        <v>220</v>
      </c>
      <c r="H2" s="5" t="s">
        <v>398</v>
      </c>
      <c r="I2" s="10" t="s">
        <v>399</v>
      </c>
      <c r="J2" s="7" t="s">
        <v>400</v>
      </c>
      <c r="K2" s="7" t="s">
        <v>404</v>
      </c>
      <c r="L2" s="5" t="str">
        <f>LEFT(K2,FIND( ",",K2)-1)</f>
        <v>Kamis</v>
      </c>
      <c r="M2" s="5" t="str">
        <f>MID(K2,FIND(",",K2)+2,LEN(K2))</f>
        <v>08:00 - 08:50</v>
      </c>
      <c r="N2" s="7" t="s">
        <v>224</v>
      </c>
    </row>
    <row r="3" spans="2:14" ht="30" hidden="1" customHeight="1" x14ac:dyDescent="0.3">
      <c r="B3" s="5">
        <v>21</v>
      </c>
      <c r="C3" s="5" t="s">
        <v>390</v>
      </c>
      <c r="D3" s="5">
        <v>75</v>
      </c>
      <c r="E3" s="5">
        <v>44</v>
      </c>
      <c r="F3" s="7" t="s">
        <v>397</v>
      </c>
      <c r="G3" s="7" t="s">
        <v>220</v>
      </c>
      <c r="H3" s="5" t="s">
        <v>398</v>
      </c>
      <c r="I3" s="10" t="s">
        <v>399</v>
      </c>
      <c r="J3" s="7" t="s">
        <v>365</v>
      </c>
      <c r="K3" s="7" t="s">
        <v>404</v>
      </c>
      <c r="L3" s="5" t="str">
        <f>LEFT(K3,FIND( ",",K3)-1)</f>
        <v>Kamis</v>
      </c>
      <c r="M3" s="5" t="str">
        <f>MID(K3,FIND(",",K3)+2,LEN(K3))</f>
        <v>08:00 - 08:50</v>
      </c>
      <c r="N3" s="7" t="s">
        <v>224</v>
      </c>
    </row>
    <row r="4" spans="2:14" ht="30" hidden="1" customHeight="1" x14ac:dyDescent="0.3">
      <c r="B4" s="2">
        <v>36</v>
      </c>
      <c r="C4" s="2" t="s">
        <v>584</v>
      </c>
      <c r="D4" s="2">
        <v>80</v>
      </c>
      <c r="E4" s="2">
        <v>42</v>
      </c>
      <c r="F4" s="1" t="s">
        <v>397</v>
      </c>
      <c r="G4" s="1" t="s">
        <v>220</v>
      </c>
      <c r="H4" s="2" t="s">
        <v>398</v>
      </c>
      <c r="I4" s="11" t="s">
        <v>589</v>
      </c>
      <c r="J4" s="1" t="s">
        <v>541</v>
      </c>
      <c r="K4" s="1" t="s">
        <v>404</v>
      </c>
      <c r="L4" s="2" t="str">
        <f>LEFT(K4,FIND( ",",K4)-1)</f>
        <v>Kamis</v>
      </c>
      <c r="M4" s="2" t="str">
        <f>MID(K4,FIND(",",K4)+2,LEN(K4))</f>
        <v>08:00 - 08:50</v>
      </c>
      <c r="N4" s="1" t="s">
        <v>224</v>
      </c>
    </row>
    <row r="5" spans="2:14" ht="30" customHeight="1" x14ac:dyDescent="0.3">
      <c r="B5" s="2">
        <v>12</v>
      </c>
      <c r="C5" s="2" t="s">
        <v>171</v>
      </c>
      <c r="D5" s="2">
        <v>50</v>
      </c>
      <c r="E5" s="2">
        <v>5</v>
      </c>
      <c r="F5" s="1" t="s">
        <v>187</v>
      </c>
      <c r="G5" s="1" t="s">
        <v>173</v>
      </c>
      <c r="H5" s="2" t="s">
        <v>188</v>
      </c>
      <c r="I5" s="11" t="s">
        <v>189</v>
      </c>
      <c r="J5" s="1" t="s">
        <v>190</v>
      </c>
      <c r="K5" s="1" t="s">
        <v>195</v>
      </c>
      <c r="L5" s="2" t="str">
        <f>LEFT(K5,FIND( ",",K5)-1)</f>
        <v>Rabu</v>
      </c>
      <c r="M5" s="2" t="str">
        <f>MID(K5,FIND(",",K5)+2,LEN(K5))</f>
        <v>09:00 - 09:50</v>
      </c>
      <c r="N5" s="1" t="s">
        <v>177</v>
      </c>
    </row>
    <row r="6" spans="2:14" ht="30" customHeight="1" x14ac:dyDescent="0.3">
      <c r="B6" s="2">
        <v>12</v>
      </c>
      <c r="C6" s="2" t="s">
        <v>171</v>
      </c>
      <c r="D6" s="2">
        <v>50</v>
      </c>
      <c r="E6" s="2">
        <v>45</v>
      </c>
      <c r="F6" s="1" t="s">
        <v>179</v>
      </c>
      <c r="G6" s="1" t="s">
        <v>173</v>
      </c>
      <c r="H6" s="2" t="s">
        <v>180</v>
      </c>
      <c r="I6" s="11" t="s">
        <v>181</v>
      </c>
      <c r="J6" s="1" t="s">
        <v>182</v>
      </c>
      <c r="K6" s="1" t="s">
        <v>31</v>
      </c>
      <c r="L6" s="2" t="str">
        <f>LEFT(K6,FIND( ",",K6)-1)</f>
        <v>Rabu</v>
      </c>
      <c r="M6" s="2" t="str">
        <f>MID(K6,FIND(",",K6)+2,LEN(K6))</f>
        <v>10:00 - 11:40</v>
      </c>
      <c r="N6" s="1" t="s">
        <v>177</v>
      </c>
    </row>
    <row r="7" spans="2:14" ht="30" customHeight="1" x14ac:dyDescent="0.3">
      <c r="B7" s="2">
        <v>12</v>
      </c>
      <c r="C7" s="2" t="s">
        <v>171</v>
      </c>
      <c r="D7" s="2">
        <v>50</v>
      </c>
      <c r="E7" s="2">
        <v>12</v>
      </c>
      <c r="F7" s="1" t="s">
        <v>183</v>
      </c>
      <c r="G7" s="1" t="s">
        <v>173</v>
      </c>
      <c r="H7" s="2" t="s">
        <v>184</v>
      </c>
      <c r="I7" s="11" t="s">
        <v>185</v>
      </c>
      <c r="J7" s="1" t="s">
        <v>186</v>
      </c>
      <c r="K7" s="1" t="s">
        <v>196</v>
      </c>
      <c r="L7" s="2" t="str">
        <f>LEFT(K7,FIND( ",",K7)-1)</f>
        <v>Rabu</v>
      </c>
      <c r="M7" s="2" t="str">
        <f>MID(K7,FIND(",",K7)+2,LEN(K7))</f>
        <v>14:00 - 15:40</v>
      </c>
      <c r="N7" s="1" t="s">
        <v>177</v>
      </c>
    </row>
    <row r="8" spans="2:14" ht="30" hidden="1" customHeight="1" x14ac:dyDescent="0.3">
      <c r="B8" s="2">
        <v>12</v>
      </c>
      <c r="C8" s="2" t="s">
        <v>171</v>
      </c>
      <c r="D8" s="2">
        <v>50</v>
      </c>
      <c r="E8" s="2">
        <v>32</v>
      </c>
      <c r="F8" s="1" t="s">
        <v>191</v>
      </c>
      <c r="G8" s="1" t="s">
        <v>173</v>
      </c>
      <c r="H8" s="2" t="s">
        <v>192</v>
      </c>
      <c r="I8" s="11" t="s">
        <v>193</v>
      </c>
      <c r="J8" s="1" t="s">
        <v>135</v>
      </c>
      <c r="K8" s="1" t="s">
        <v>194</v>
      </c>
      <c r="L8" s="2" t="str">
        <f>LEFT(K8,FIND( ",",K8)-1)</f>
        <v>Selasa</v>
      </c>
      <c r="M8" s="2" t="str">
        <f>MID(K8,FIND(",",K8)+2,LEN(K8))</f>
        <v>15:00 - 16:40</v>
      </c>
      <c r="N8" s="1" t="s">
        <v>177</v>
      </c>
    </row>
    <row r="9" spans="2:14" ht="30" hidden="1" customHeight="1" x14ac:dyDescent="0.3">
      <c r="B9" s="2">
        <v>12</v>
      </c>
      <c r="C9" s="2" t="s">
        <v>171</v>
      </c>
      <c r="D9" s="2">
        <v>50</v>
      </c>
      <c r="E9" s="2">
        <v>35</v>
      </c>
      <c r="F9" s="1" t="s">
        <v>172</v>
      </c>
      <c r="G9" s="1" t="s">
        <v>173</v>
      </c>
      <c r="H9" s="2" t="s">
        <v>174</v>
      </c>
      <c r="I9" s="11" t="s">
        <v>175</v>
      </c>
      <c r="J9" s="1" t="s">
        <v>176</v>
      </c>
      <c r="K9" s="1" t="s">
        <v>5</v>
      </c>
      <c r="L9" s="2" t="str">
        <f>LEFT(K9,FIND( ",",K9)-1)</f>
        <v>Senin</v>
      </c>
      <c r="M9" s="2" t="str">
        <f>MID(K9,FIND(",",K9)+2,LEN(K9))</f>
        <v>08:00 - 09:40</v>
      </c>
      <c r="N9" s="1" t="s">
        <v>177</v>
      </c>
    </row>
    <row r="10" spans="2:14" ht="30" hidden="1" customHeight="1" x14ac:dyDescent="0.3">
      <c r="B10" s="2">
        <v>12</v>
      </c>
      <c r="C10" s="2" t="s">
        <v>171</v>
      </c>
      <c r="D10" s="2">
        <v>50</v>
      </c>
      <c r="E10" s="2">
        <v>35</v>
      </c>
      <c r="F10" s="1" t="s">
        <v>172</v>
      </c>
      <c r="G10" s="1" t="s">
        <v>173</v>
      </c>
      <c r="H10" s="2" t="s">
        <v>174</v>
      </c>
      <c r="I10" s="11" t="s">
        <v>175</v>
      </c>
      <c r="J10" s="1" t="s">
        <v>178</v>
      </c>
      <c r="K10" s="1" t="s">
        <v>5</v>
      </c>
      <c r="L10" s="2" t="str">
        <f>LEFT(K10,FIND( ",",K10)-1)</f>
        <v>Senin</v>
      </c>
      <c r="M10" s="2" t="str">
        <f>MID(K10,FIND(",",K10)+2,LEN(K10))</f>
        <v>08:00 - 09:40</v>
      </c>
      <c r="N10" s="1" t="s">
        <v>177</v>
      </c>
    </row>
    <row r="11" spans="2:14" ht="30" hidden="1" customHeight="1" x14ac:dyDescent="0.3">
      <c r="B11" s="2">
        <v>12</v>
      </c>
      <c r="C11" s="2" t="s">
        <v>171</v>
      </c>
      <c r="D11" s="2">
        <v>50</v>
      </c>
      <c r="E11" s="2">
        <v>45</v>
      </c>
      <c r="F11" s="1" t="s">
        <v>179</v>
      </c>
      <c r="G11" s="1" t="s">
        <v>173</v>
      </c>
      <c r="H11" s="2" t="s">
        <v>180</v>
      </c>
      <c r="I11" s="11" t="s">
        <v>181</v>
      </c>
      <c r="J11" s="1" t="s">
        <v>182</v>
      </c>
      <c r="K11" s="1" t="s">
        <v>12</v>
      </c>
      <c r="L11" s="2" t="str">
        <f>LEFT(K11,FIND( ",",K11)-1)</f>
        <v>Senin</v>
      </c>
      <c r="M11" s="2" t="str">
        <f>MID(K11,FIND(",",K11)+2,LEN(K11))</f>
        <v>10:00 - 11:40</v>
      </c>
      <c r="N11" s="1" t="s">
        <v>177</v>
      </c>
    </row>
    <row r="12" spans="2:14" ht="30" hidden="1" customHeight="1" x14ac:dyDescent="0.3">
      <c r="B12" s="2">
        <v>12</v>
      </c>
      <c r="C12" s="2" t="s">
        <v>171</v>
      </c>
      <c r="D12" s="2">
        <v>50</v>
      </c>
      <c r="E12" s="2">
        <v>12</v>
      </c>
      <c r="F12" s="1" t="s">
        <v>183</v>
      </c>
      <c r="G12" s="1" t="s">
        <v>173</v>
      </c>
      <c r="H12" s="2" t="s">
        <v>184</v>
      </c>
      <c r="I12" s="11" t="s">
        <v>185</v>
      </c>
      <c r="J12" s="1" t="s">
        <v>186</v>
      </c>
      <c r="K12" s="1" t="s">
        <v>19</v>
      </c>
      <c r="L12" s="2" t="str">
        <f>LEFT(K12,FIND( ",",K12)-1)</f>
        <v>Senin</v>
      </c>
      <c r="M12" s="2" t="str">
        <f>MID(K12,FIND(",",K12)+2,LEN(K12))</f>
        <v>13:00 - 14:40</v>
      </c>
      <c r="N12" s="1" t="s">
        <v>177</v>
      </c>
    </row>
    <row r="13" spans="2:14" ht="30" hidden="1" customHeight="1" x14ac:dyDescent="0.3">
      <c r="B13" s="2">
        <v>12</v>
      </c>
      <c r="C13" s="2" t="s">
        <v>171</v>
      </c>
      <c r="D13" s="2">
        <v>50</v>
      </c>
      <c r="E13" s="2">
        <v>5</v>
      </c>
      <c r="F13" s="1" t="s">
        <v>187</v>
      </c>
      <c r="G13" s="1" t="s">
        <v>173</v>
      </c>
      <c r="H13" s="2" t="s">
        <v>188</v>
      </c>
      <c r="I13" s="11" t="s">
        <v>189</v>
      </c>
      <c r="J13" s="1" t="s">
        <v>190</v>
      </c>
      <c r="K13" s="1" t="s">
        <v>21</v>
      </c>
      <c r="L13" s="2" t="str">
        <f>LEFT(K13,FIND( ",",K13)-1)</f>
        <v>Senin</v>
      </c>
      <c r="M13" s="2" t="str">
        <f>MID(K13,FIND(",",K13)+2,LEN(K13))</f>
        <v>15:00 - 16:40</v>
      </c>
      <c r="N13" s="1" t="s">
        <v>177</v>
      </c>
    </row>
    <row r="14" spans="2:14" ht="30" hidden="1" customHeight="1" x14ac:dyDescent="0.3">
      <c r="B14" s="5">
        <v>13</v>
      </c>
      <c r="C14" s="5" t="s">
        <v>203</v>
      </c>
      <c r="D14" s="5">
        <v>60</v>
      </c>
      <c r="E14" s="5">
        <v>5</v>
      </c>
      <c r="F14" s="7" t="s">
        <v>231</v>
      </c>
      <c r="G14" s="7" t="s">
        <v>173</v>
      </c>
      <c r="H14" s="5" t="s">
        <v>232</v>
      </c>
      <c r="I14" s="10" t="s">
        <v>233</v>
      </c>
      <c r="J14" s="7" t="s">
        <v>234</v>
      </c>
      <c r="K14" s="7" t="s">
        <v>62</v>
      </c>
      <c r="L14" s="5" t="str">
        <f>LEFT(K14,FIND( ",",K14)-1)</f>
        <v>Jumat</v>
      </c>
      <c r="M14" s="5" t="str">
        <f>MID(K14,FIND(",",K14)+2,LEN(K14))</f>
        <v>10:00 - 11:40</v>
      </c>
      <c r="N14" s="7" t="s">
        <v>177</v>
      </c>
    </row>
    <row r="15" spans="2:14" ht="30" hidden="1" customHeight="1" x14ac:dyDescent="0.3">
      <c r="B15" s="5">
        <v>37</v>
      </c>
      <c r="C15" s="5" t="s">
        <v>593</v>
      </c>
      <c r="D15" s="5">
        <v>40</v>
      </c>
      <c r="E15" s="5">
        <v>32</v>
      </c>
      <c r="F15" s="7" t="s">
        <v>534</v>
      </c>
      <c r="G15" s="7" t="s">
        <v>576</v>
      </c>
      <c r="H15" s="5" t="s">
        <v>535</v>
      </c>
      <c r="I15" s="10" t="s">
        <v>595</v>
      </c>
      <c r="J15" s="7" t="s">
        <v>418</v>
      </c>
      <c r="K15" s="7" t="s">
        <v>404</v>
      </c>
      <c r="L15" s="5" t="str">
        <f>LEFT(K15,FIND( ",",K15)-1)</f>
        <v>Kamis</v>
      </c>
      <c r="M15" s="5" t="str">
        <f>MID(K15,FIND(",",K15)+2,LEN(K15))</f>
        <v>08:00 - 08:50</v>
      </c>
      <c r="N15" s="7" t="s">
        <v>578</v>
      </c>
    </row>
    <row r="16" spans="2:14" ht="30" hidden="1" customHeight="1" x14ac:dyDescent="0.3">
      <c r="B16" s="5">
        <v>13</v>
      </c>
      <c r="C16" s="5" t="s">
        <v>203</v>
      </c>
      <c r="D16" s="5">
        <v>60</v>
      </c>
      <c r="E16" s="5">
        <v>38</v>
      </c>
      <c r="F16" s="7" t="s">
        <v>214</v>
      </c>
      <c r="G16" s="7" t="s">
        <v>173</v>
      </c>
      <c r="H16" s="5" t="s">
        <v>215</v>
      </c>
      <c r="I16" s="10" t="s">
        <v>216</v>
      </c>
      <c r="J16" s="7"/>
      <c r="K16" s="7" t="s">
        <v>43</v>
      </c>
      <c r="L16" s="5" t="str">
        <f>LEFT(K16,FIND( ",",K16)-1)</f>
        <v>Kamis</v>
      </c>
      <c r="M16" s="5" t="str">
        <f>MID(K16,FIND(",",K16)+2,LEN(K16))</f>
        <v>08:00 - 09:40</v>
      </c>
      <c r="N16" s="7" t="s">
        <v>177</v>
      </c>
    </row>
    <row r="17" spans="2:14" ht="30" hidden="1" customHeight="1" x14ac:dyDescent="0.3">
      <c r="B17" s="2">
        <v>14</v>
      </c>
      <c r="C17" s="2" t="s">
        <v>236</v>
      </c>
      <c r="D17" s="2">
        <v>70</v>
      </c>
      <c r="E17" s="2">
        <v>60</v>
      </c>
      <c r="F17" s="1" t="s">
        <v>248</v>
      </c>
      <c r="G17" s="1" t="s">
        <v>227</v>
      </c>
      <c r="H17" s="2" t="s">
        <v>249</v>
      </c>
      <c r="I17" s="11" t="s">
        <v>249</v>
      </c>
      <c r="J17" s="1" t="s">
        <v>250</v>
      </c>
      <c r="K17" s="1" t="s">
        <v>43</v>
      </c>
      <c r="L17" s="2" t="str">
        <f>LEFT(K17,FIND( ",",K17)-1)</f>
        <v>Kamis</v>
      </c>
      <c r="M17" s="2" t="str">
        <f>MID(K17,FIND(",",K17)+2,LEN(K17))</f>
        <v>08:00 - 09:40</v>
      </c>
      <c r="N17" s="1" t="s">
        <v>230</v>
      </c>
    </row>
    <row r="18" spans="2:14" ht="30" customHeight="1" x14ac:dyDescent="0.3">
      <c r="B18" s="5">
        <v>13</v>
      </c>
      <c r="C18" s="5" t="s">
        <v>203</v>
      </c>
      <c r="D18" s="5">
        <v>60</v>
      </c>
      <c r="E18" s="5">
        <v>13</v>
      </c>
      <c r="F18" s="7" t="s">
        <v>206</v>
      </c>
      <c r="G18" s="7" t="s">
        <v>173</v>
      </c>
      <c r="H18" s="5" t="s">
        <v>207</v>
      </c>
      <c r="I18" s="10" t="s">
        <v>208</v>
      </c>
      <c r="J18" s="7" t="s">
        <v>209</v>
      </c>
      <c r="K18" s="7" t="s">
        <v>217</v>
      </c>
      <c r="L18" s="5" t="str">
        <f>LEFT(K18,FIND( ",",K18)-1)</f>
        <v>Rabu</v>
      </c>
      <c r="M18" s="5" t="str">
        <f>MID(K18,FIND(",",K18)+2,LEN(K18))</f>
        <v>10:00 - 10:50</v>
      </c>
      <c r="N18" s="7" t="s">
        <v>177</v>
      </c>
    </row>
    <row r="19" spans="2:14" ht="30" customHeight="1" x14ac:dyDescent="0.3">
      <c r="B19" s="5">
        <v>13</v>
      </c>
      <c r="C19" s="5" t="s">
        <v>203</v>
      </c>
      <c r="D19" s="5">
        <v>60</v>
      </c>
      <c r="E19" s="5">
        <v>13</v>
      </c>
      <c r="F19" s="7" t="s">
        <v>210</v>
      </c>
      <c r="G19" s="7" t="s">
        <v>173</v>
      </c>
      <c r="H19" s="5" t="s">
        <v>211</v>
      </c>
      <c r="I19" s="10" t="s">
        <v>212</v>
      </c>
      <c r="J19" s="7" t="s">
        <v>213</v>
      </c>
      <c r="K19" s="7" t="s">
        <v>218</v>
      </c>
      <c r="L19" s="5" t="str">
        <f>LEFT(K19,FIND( ",",K19)-1)</f>
        <v>Rabu</v>
      </c>
      <c r="M19" s="5" t="str">
        <f>MID(K19,FIND(",",K19)+2,LEN(K19))</f>
        <v>14:00 - 14:50</v>
      </c>
      <c r="N19" s="7" t="s">
        <v>177</v>
      </c>
    </row>
    <row r="20" spans="2:14" ht="30" customHeight="1" x14ac:dyDescent="0.3">
      <c r="B20" s="5">
        <v>13</v>
      </c>
      <c r="C20" s="5" t="s">
        <v>203</v>
      </c>
      <c r="D20" s="5">
        <v>60</v>
      </c>
      <c r="E20" s="5">
        <v>6</v>
      </c>
      <c r="F20" s="7" t="s">
        <v>219</v>
      </c>
      <c r="G20" s="7" t="s">
        <v>220</v>
      </c>
      <c r="H20" s="5" t="s">
        <v>221</v>
      </c>
      <c r="I20" s="10" t="s">
        <v>222</v>
      </c>
      <c r="J20" s="7" t="s">
        <v>101</v>
      </c>
      <c r="K20" s="7" t="s">
        <v>223</v>
      </c>
      <c r="L20" s="5" t="str">
        <f>LEFT(K20,FIND( ",",K20)-1)</f>
        <v>Rabu</v>
      </c>
      <c r="M20" s="5" t="str">
        <f>MID(K20,FIND(",",K20)+2,LEN(K20))</f>
        <v>15:00 - 16:40</v>
      </c>
      <c r="N20" s="7" t="s">
        <v>224</v>
      </c>
    </row>
    <row r="21" spans="2:14" ht="30" customHeight="1" x14ac:dyDescent="0.3">
      <c r="B21" s="5">
        <v>13</v>
      </c>
      <c r="C21" s="5" t="s">
        <v>203</v>
      </c>
      <c r="D21" s="5">
        <v>60</v>
      </c>
      <c r="E21" s="5">
        <v>6</v>
      </c>
      <c r="F21" s="7" t="s">
        <v>219</v>
      </c>
      <c r="G21" s="7" t="s">
        <v>220</v>
      </c>
      <c r="H21" s="5" t="s">
        <v>221</v>
      </c>
      <c r="I21" s="10" t="s">
        <v>222</v>
      </c>
      <c r="J21" s="7" t="s">
        <v>225</v>
      </c>
      <c r="K21" s="7" t="s">
        <v>223</v>
      </c>
      <c r="L21" s="5" t="str">
        <f>LEFT(K21,FIND( ",",K21)-1)</f>
        <v>Rabu</v>
      </c>
      <c r="M21" s="5" t="str">
        <f>MID(K21,FIND(",",K21)+2,LEN(K21))</f>
        <v>15:00 - 16:40</v>
      </c>
      <c r="N21" s="7" t="s">
        <v>224</v>
      </c>
    </row>
    <row r="22" spans="2:14" ht="30" hidden="1" customHeight="1" x14ac:dyDescent="0.3">
      <c r="B22" s="5">
        <v>13</v>
      </c>
      <c r="C22" s="5" t="s">
        <v>203</v>
      </c>
      <c r="D22" s="5">
        <v>60</v>
      </c>
      <c r="E22" s="5">
        <v>38</v>
      </c>
      <c r="F22" s="7" t="s">
        <v>214</v>
      </c>
      <c r="G22" s="7" t="s">
        <v>173</v>
      </c>
      <c r="H22" s="5" t="s">
        <v>215</v>
      </c>
      <c r="I22" s="10" t="s">
        <v>216</v>
      </c>
      <c r="J22" s="7"/>
      <c r="K22" s="7" t="s">
        <v>42</v>
      </c>
      <c r="L22" s="5" t="str">
        <f>LEFT(K22,FIND( ",",K22)-1)</f>
        <v>Selasa</v>
      </c>
      <c r="M22" s="5" t="str">
        <f>MID(K22,FIND(",",K22)+2,LEN(K22))</f>
        <v>13:00 - 14:40</v>
      </c>
      <c r="N22" s="7" t="s">
        <v>177</v>
      </c>
    </row>
    <row r="23" spans="2:14" ht="30" hidden="1" customHeight="1" x14ac:dyDescent="0.3">
      <c r="B23" s="5">
        <v>13</v>
      </c>
      <c r="C23" s="5" t="s">
        <v>203</v>
      </c>
      <c r="D23" s="5">
        <v>60</v>
      </c>
      <c r="E23" s="5">
        <v>2</v>
      </c>
      <c r="F23" s="7" t="s">
        <v>198</v>
      </c>
      <c r="G23" s="7" t="s">
        <v>173</v>
      </c>
      <c r="H23" s="5" t="s">
        <v>199</v>
      </c>
      <c r="I23" s="10" t="s">
        <v>200</v>
      </c>
      <c r="J23" s="7" t="s">
        <v>51</v>
      </c>
      <c r="K23" s="7" t="s">
        <v>194</v>
      </c>
      <c r="L23" s="5" t="str">
        <f>LEFT(K23,FIND( ",",K23)-1)</f>
        <v>Selasa</v>
      </c>
      <c r="M23" s="5" t="str">
        <f>MID(K23,FIND(",",K23)+2,LEN(K23))</f>
        <v>15:00 - 16:40</v>
      </c>
      <c r="N23" s="7" t="s">
        <v>177</v>
      </c>
    </row>
    <row r="24" spans="2:14" ht="30" hidden="1" customHeight="1" x14ac:dyDescent="0.3">
      <c r="B24" s="5">
        <v>13</v>
      </c>
      <c r="C24" s="5" t="s">
        <v>203</v>
      </c>
      <c r="D24" s="5">
        <v>60</v>
      </c>
      <c r="E24" s="5">
        <v>2</v>
      </c>
      <c r="F24" s="7" t="s">
        <v>198</v>
      </c>
      <c r="G24" s="7" t="s">
        <v>173</v>
      </c>
      <c r="H24" s="5" t="s">
        <v>199</v>
      </c>
      <c r="I24" s="10" t="s">
        <v>200</v>
      </c>
      <c r="J24" s="7" t="s">
        <v>201</v>
      </c>
      <c r="K24" s="7" t="s">
        <v>194</v>
      </c>
      <c r="L24" s="5" t="str">
        <f>LEFT(K24,FIND( ",",K24)-1)</f>
        <v>Selasa</v>
      </c>
      <c r="M24" s="5" t="str">
        <f>MID(K24,FIND(",",K24)+2,LEN(K24))</f>
        <v>15:00 - 16:40</v>
      </c>
      <c r="N24" s="7" t="s">
        <v>177</v>
      </c>
    </row>
    <row r="25" spans="2:14" ht="30" hidden="1" customHeight="1" x14ac:dyDescent="0.3">
      <c r="B25" s="5">
        <v>13</v>
      </c>
      <c r="C25" s="5" t="s">
        <v>203</v>
      </c>
      <c r="D25" s="5">
        <v>60</v>
      </c>
      <c r="E25" s="5">
        <v>22</v>
      </c>
      <c r="F25" s="7" t="s">
        <v>172</v>
      </c>
      <c r="G25" s="7" t="s">
        <v>173</v>
      </c>
      <c r="H25" s="5" t="s">
        <v>174</v>
      </c>
      <c r="I25" s="10" t="s">
        <v>204</v>
      </c>
      <c r="J25" s="7" t="s">
        <v>205</v>
      </c>
      <c r="K25" s="7" t="s">
        <v>5</v>
      </c>
      <c r="L25" s="5" t="str">
        <f>LEFT(K25,FIND( ",",K25)-1)</f>
        <v>Senin</v>
      </c>
      <c r="M25" s="5" t="str">
        <f>MID(K25,FIND(",",K25)+2,LEN(K25))</f>
        <v>08:00 - 09:40</v>
      </c>
      <c r="N25" s="7" t="s">
        <v>177</v>
      </c>
    </row>
    <row r="26" spans="2:14" ht="30" hidden="1" customHeight="1" x14ac:dyDescent="0.3">
      <c r="B26" s="5">
        <v>13</v>
      </c>
      <c r="C26" s="5" t="s">
        <v>203</v>
      </c>
      <c r="D26" s="5">
        <v>60</v>
      </c>
      <c r="E26" s="5">
        <v>13</v>
      </c>
      <c r="F26" s="7" t="s">
        <v>206</v>
      </c>
      <c r="G26" s="7" t="s">
        <v>173</v>
      </c>
      <c r="H26" s="5" t="s">
        <v>207</v>
      </c>
      <c r="I26" s="10" t="s">
        <v>208</v>
      </c>
      <c r="J26" s="7" t="s">
        <v>209</v>
      </c>
      <c r="K26" s="7" t="s">
        <v>12</v>
      </c>
      <c r="L26" s="5" t="str">
        <f>LEFT(K26,FIND( ",",K26)-1)</f>
        <v>Senin</v>
      </c>
      <c r="M26" s="5" t="str">
        <f>MID(K26,FIND(",",K26)+2,LEN(K26))</f>
        <v>10:00 - 11:40</v>
      </c>
      <c r="N26" s="7" t="s">
        <v>177</v>
      </c>
    </row>
    <row r="27" spans="2:14" ht="30" hidden="1" customHeight="1" x14ac:dyDescent="0.3">
      <c r="B27" s="5">
        <v>13</v>
      </c>
      <c r="C27" s="5" t="s">
        <v>203</v>
      </c>
      <c r="D27" s="5">
        <v>60</v>
      </c>
      <c r="E27" s="5">
        <v>13</v>
      </c>
      <c r="F27" s="7" t="s">
        <v>210</v>
      </c>
      <c r="G27" s="7" t="s">
        <v>173</v>
      </c>
      <c r="H27" s="5" t="s">
        <v>211</v>
      </c>
      <c r="I27" s="10" t="s">
        <v>212</v>
      </c>
      <c r="J27" s="7" t="s">
        <v>213</v>
      </c>
      <c r="K27" s="7" t="s">
        <v>19</v>
      </c>
      <c r="L27" s="5" t="str">
        <f>LEFT(K27,FIND( ",",K27)-1)</f>
        <v>Senin</v>
      </c>
      <c r="M27" s="5" t="str">
        <f>MID(K27,FIND(",",K27)+2,LEN(K27))</f>
        <v>13:00 - 14:40</v>
      </c>
      <c r="N27" s="7" t="s">
        <v>177</v>
      </c>
    </row>
    <row r="28" spans="2:14" ht="30" hidden="1" customHeight="1" x14ac:dyDescent="0.3">
      <c r="B28" s="2">
        <v>14</v>
      </c>
      <c r="C28" s="2" t="s">
        <v>236</v>
      </c>
      <c r="D28" s="2">
        <v>70</v>
      </c>
      <c r="E28" s="2">
        <v>7</v>
      </c>
      <c r="F28" s="1" t="s">
        <v>258</v>
      </c>
      <c r="G28" s="1" t="s">
        <v>173</v>
      </c>
      <c r="H28" s="2" t="s">
        <v>259</v>
      </c>
      <c r="I28" s="11" t="s">
        <v>260</v>
      </c>
      <c r="J28" s="1" t="s">
        <v>60</v>
      </c>
      <c r="K28" s="1" t="s">
        <v>24</v>
      </c>
      <c r="L28" s="2" t="str">
        <f>LEFT(K28,FIND( ",",K28)-1)</f>
        <v>Jumat</v>
      </c>
      <c r="M28" s="2" t="str">
        <f>MID(K28,FIND(",",K28)+2,LEN(K28))</f>
        <v>08:00 - 09:40</v>
      </c>
      <c r="N28" s="1" t="s">
        <v>177</v>
      </c>
    </row>
    <row r="29" spans="2:14" ht="30" hidden="1" customHeight="1" x14ac:dyDescent="0.3">
      <c r="B29" s="2">
        <v>22</v>
      </c>
      <c r="C29" s="2" t="s">
        <v>405</v>
      </c>
      <c r="D29" s="2">
        <v>92</v>
      </c>
      <c r="E29" s="2">
        <v>6</v>
      </c>
      <c r="F29" s="1" t="s">
        <v>412</v>
      </c>
      <c r="G29" s="1" t="s">
        <v>173</v>
      </c>
      <c r="H29" s="2" t="s">
        <v>413</v>
      </c>
      <c r="I29" s="11" t="s">
        <v>414</v>
      </c>
      <c r="J29" s="1" t="s">
        <v>296</v>
      </c>
      <c r="K29" s="1" t="s">
        <v>43</v>
      </c>
      <c r="L29" s="2" t="str">
        <f>LEFT(K29,FIND( ",",K29)-1)</f>
        <v>Kamis</v>
      </c>
      <c r="M29" s="2" t="str">
        <f>MID(K29,FIND(",",K29)+2,LEN(K29))</f>
        <v>08:00 - 09:40</v>
      </c>
      <c r="N29" s="1" t="s">
        <v>177</v>
      </c>
    </row>
    <row r="30" spans="2:14" ht="30" hidden="1" customHeight="1" x14ac:dyDescent="0.3">
      <c r="B30" s="2">
        <v>28</v>
      </c>
      <c r="C30" s="2" t="s">
        <v>484</v>
      </c>
      <c r="D30" s="2">
        <v>80</v>
      </c>
      <c r="E30" s="2">
        <v>15</v>
      </c>
      <c r="F30" s="1" t="s">
        <v>492</v>
      </c>
      <c r="G30" s="1" t="s">
        <v>220</v>
      </c>
      <c r="H30" s="2" t="s">
        <v>493</v>
      </c>
      <c r="I30" s="11" t="s">
        <v>494</v>
      </c>
      <c r="J30" s="1" t="s">
        <v>495</v>
      </c>
      <c r="K30" s="1" t="s">
        <v>43</v>
      </c>
      <c r="L30" s="2" t="str">
        <f>LEFT(K30,FIND( ",",K30)-1)</f>
        <v>Kamis</v>
      </c>
      <c r="M30" s="2" t="str">
        <f>MID(K30,FIND(",",K30)+2,LEN(K30))</f>
        <v>08:00 - 09:40</v>
      </c>
      <c r="N30" s="1" t="s">
        <v>224</v>
      </c>
    </row>
    <row r="31" spans="2:14" ht="30" hidden="1" customHeight="1" x14ac:dyDescent="0.3">
      <c r="B31" s="5">
        <v>29</v>
      </c>
      <c r="C31" s="5" t="s">
        <v>505</v>
      </c>
      <c r="D31" s="5">
        <v>80</v>
      </c>
      <c r="E31" s="5">
        <v>31</v>
      </c>
      <c r="F31" s="7" t="s">
        <v>214</v>
      </c>
      <c r="G31" s="7" t="s">
        <v>173</v>
      </c>
      <c r="H31" s="5" t="s">
        <v>215</v>
      </c>
      <c r="I31" s="10" t="s">
        <v>515</v>
      </c>
      <c r="J31" s="7" t="s">
        <v>516</v>
      </c>
      <c r="K31" s="7" t="s">
        <v>43</v>
      </c>
      <c r="L31" s="5" t="str">
        <f>LEFT(K31,FIND( ",",K31)-1)</f>
        <v>Kamis</v>
      </c>
      <c r="M31" s="5" t="str">
        <f>MID(K31,FIND(",",K31)+2,LEN(K31))</f>
        <v>08:00 - 09:40</v>
      </c>
      <c r="N31" s="7" t="s">
        <v>177</v>
      </c>
    </row>
    <row r="32" spans="2:14" ht="30" hidden="1" customHeight="1" x14ac:dyDescent="0.3">
      <c r="B32" s="2">
        <v>30</v>
      </c>
      <c r="C32" s="2" t="s">
        <v>519</v>
      </c>
      <c r="D32" s="2">
        <v>80</v>
      </c>
      <c r="E32" s="2">
        <v>20</v>
      </c>
      <c r="F32" s="1" t="s">
        <v>492</v>
      </c>
      <c r="G32" s="1" t="s">
        <v>220</v>
      </c>
      <c r="H32" s="2" t="s">
        <v>493</v>
      </c>
      <c r="I32" s="11" t="s">
        <v>524</v>
      </c>
      <c r="J32" s="1" t="s">
        <v>433</v>
      </c>
      <c r="K32" s="1" t="s">
        <v>43</v>
      </c>
      <c r="L32" s="2" t="str">
        <f>LEFT(K32,FIND( ",",K32)-1)</f>
        <v>Kamis</v>
      </c>
      <c r="M32" s="2" t="str">
        <f>MID(K32,FIND(",",K32)+2,LEN(K32))</f>
        <v>08:00 - 09:40</v>
      </c>
      <c r="N32" s="1" t="s">
        <v>224</v>
      </c>
    </row>
    <row r="33" spans="2:14" ht="30" hidden="1" customHeight="1" x14ac:dyDescent="0.3">
      <c r="B33" s="2">
        <v>30</v>
      </c>
      <c r="C33" s="2" t="s">
        <v>519</v>
      </c>
      <c r="D33" s="2">
        <v>80</v>
      </c>
      <c r="E33" s="2">
        <v>20</v>
      </c>
      <c r="F33" s="1" t="s">
        <v>492</v>
      </c>
      <c r="G33" s="1" t="s">
        <v>220</v>
      </c>
      <c r="H33" s="2" t="s">
        <v>493</v>
      </c>
      <c r="I33" s="11" t="s">
        <v>524</v>
      </c>
      <c r="J33" s="1" t="s">
        <v>182</v>
      </c>
      <c r="K33" s="1" t="s">
        <v>43</v>
      </c>
      <c r="L33" s="2" t="str">
        <f>LEFT(K33,FIND( ",",K33)-1)</f>
        <v>Kamis</v>
      </c>
      <c r="M33" s="2" t="str">
        <f>MID(K33,FIND(",",K33)+2,LEN(K33))</f>
        <v>08:00 - 09:40</v>
      </c>
      <c r="N33" s="1" t="s">
        <v>224</v>
      </c>
    </row>
    <row r="34" spans="2:14" ht="30" hidden="1" customHeight="1" x14ac:dyDescent="0.3">
      <c r="B34" s="5">
        <v>31</v>
      </c>
      <c r="C34" s="5" t="s">
        <v>537</v>
      </c>
      <c r="D34" s="5">
        <v>80</v>
      </c>
      <c r="E34" s="5">
        <v>33</v>
      </c>
      <c r="F34" s="7" t="s">
        <v>214</v>
      </c>
      <c r="G34" s="7" t="s">
        <v>173</v>
      </c>
      <c r="H34" s="5" t="s">
        <v>215</v>
      </c>
      <c r="I34" s="10" t="s">
        <v>543</v>
      </c>
      <c r="J34" s="7" t="s">
        <v>544</v>
      </c>
      <c r="K34" s="7" t="s">
        <v>43</v>
      </c>
      <c r="L34" s="5" t="str">
        <f>LEFT(K34,FIND( ",",K34)-1)</f>
        <v>Kamis</v>
      </c>
      <c r="M34" s="5" t="str">
        <f>MID(K34,FIND(",",K34)+2,LEN(K34))</f>
        <v>08:00 - 09:40</v>
      </c>
      <c r="N34" s="7" t="s">
        <v>177</v>
      </c>
    </row>
    <row r="35" spans="2:14" ht="30" customHeight="1" x14ac:dyDescent="0.3">
      <c r="B35" s="2">
        <v>14</v>
      </c>
      <c r="C35" s="2" t="s">
        <v>236</v>
      </c>
      <c r="D35" s="2">
        <v>70</v>
      </c>
      <c r="E35" s="2">
        <v>66</v>
      </c>
      <c r="F35" s="1" t="s">
        <v>237</v>
      </c>
      <c r="G35" s="1" t="s">
        <v>173</v>
      </c>
      <c r="H35" s="2" t="s">
        <v>238</v>
      </c>
      <c r="I35" s="11" t="s">
        <v>239</v>
      </c>
      <c r="J35" s="1" t="s">
        <v>209</v>
      </c>
      <c r="K35" s="1" t="s">
        <v>195</v>
      </c>
      <c r="L35" s="2" t="str">
        <f>LEFT(K35,FIND( ",",K35)-1)</f>
        <v>Rabu</v>
      </c>
      <c r="M35" s="2" t="str">
        <f>MID(K35,FIND(",",K35)+2,LEN(K35))</f>
        <v>09:00 - 09:50</v>
      </c>
      <c r="N35" s="1" t="s">
        <v>177</v>
      </c>
    </row>
    <row r="36" spans="2:14" ht="30" customHeight="1" x14ac:dyDescent="0.3">
      <c r="B36" s="2">
        <v>14</v>
      </c>
      <c r="C36" s="2" t="s">
        <v>236</v>
      </c>
      <c r="D36" s="2">
        <v>70</v>
      </c>
      <c r="E36" s="2">
        <v>7</v>
      </c>
      <c r="F36" s="1" t="s">
        <v>258</v>
      </c>
      <c r="G36" s="1" t="s">
        <v>173</v>
      </c>
      <c r="H36" s="2" t="s">
        <v>259</v>
      </c>
      <c r="I36" s="11" t="s">
        <v>260</v>
      </c>
      <c r="J36" s="1" t="s">
        <v>60</v>
      </c>
      <c r="K36" s="1" t="s">
        <v>261</v>
      </c>
      <c r="L36" s="2" t="str">
        <f>LEFT(K36,FIND( ",",K36)-1)</f>
        <v>Rabu</v>
      </c>
      <c r="M36" s="2" t="str">
        <f>MID(K36,FIND(",",K36)+2,LEN(K36))</f>
        <v>11:00 - 11:50</v>
      </c>
      <c r="N36" s="1" t="s">
        <v>177</v>
      </c>
    </row>
    <row r="37" spans="2:14" ht="30" hidden="1" customHeight="1" x14ac:dyDescent="0.3">
      <c r="B37" s="2">
        <v>14</v>
      </c>
      <c r="C37" s="2" t="s">
        <v>236</v>
      </c>
      <c r="D37" s="2">
        <v>70</v>
      </c>
      <c r="E37" s="2">
        <v>60</v>
      </c>
      <c r="F37" s="1" t="s">
        <v>248</v>
      </c>
      <c r="G37" s="1" t="s">
        <v>227</v>
      </c>
      <c r="H37" s="2" t="s">
        <v>249</v>
      </c>
      <c r="I37" s="11" t="s">
        <v>249</v>
      </c>
      <c r="J37" s="1" t="s">
        <v>250</v>
      </c>
      <c r="K37" s="1" t="s">
        <v>29</v>
      </c>
      <c r="L37" s="2" t="str">
        <f>LEFT(K37,FIND( ",",K37)-1)</f>
        <v>Selasa</v>
      </c>
      <c r="M37" s="2" t="str">
        <f>MID(K37,FIND(",",K37)+2,LEN(K37))</f>
        <v>08:00 - 09:40</v>
      </c>
      <c r="N37" s="1" t="s">
        <v>230</v>
      </c>
    </row>
    <row r="38" spans="2:14" ht="30" hidden="1" customHeight="1" x14ac:dyDescent="0.3">
      <c r="B38" s="2">
        <v>14</v>
      </c>
      <c r="C38" s="2" t="s">
        <v>236</v>
      </c>
      <c r="D38" s="2">
        <v>70</v>
      </c>
      <c r="E38" s="2">
        <v>52</v>
      </c>
      <c r="F38" s="1" t="s">
        <v>251</v>
      </c>
      <c r="G38" s="1" t="s">
        <v>220</v>
      </c>
      <c r="H38" s="2" t="s">
        <v>252</v>
      </c>
      <c r="I38" s="11" t="s">
        <v>253</v>
      </c>
      <c r="J38" s="1" t="s">
        <v>254</v>
      </c>
      <c r="K38" s="1" t="s">
        <v>37</v>
      </c>
      <c r="L38" s="2" t="str">
        <f>LEFT(K38,FIND( ",",K38)-1)</f>
        <v>Selasa</v>
      </c>
      <c r="M38" s="2" t="str">
        <f>MID(K38,FIND(",",K38)+2,LEN(K38))</f>
        <v>10:00 - 11:40</v>
      </c>
      <c r="N38" s="1" t="s">
        <v>224</v>
      </c>
    </row>
    <row r="39" spans="2:14" ht="30" hidden="1" customHeight="1" x14ac:dyDescent="0.3">
      <c r="B39" s="2">
        <v>14</v>
      </c>
      <c r="C39" s="2" t="s">
        <v>236</v>
      </c>
      <c r="D39" s="2">
        <v>70</v>
      </c>
      <c r="E39" s="2">
        <v>52</v>
      </c>
      <c r="F39" s="1" t="s">
        <v>251</v>
      </c>
      <c r="G39" s="1" t="s">
        <v>220</v>
      </c>
      <c r="H39" s="2" t="s">
        <v>252</v>
      </c>
      <c r="I39" s="11" t="s">
        <v>253</v>
      </c>
      <c r="J39" s="1" t="s">
        <v>255</v>
      </c>
      <c r="K39" s="1" t="s">
        <v>37</v>
      </c>
      <c r="L39" s="2" t="str">
        <f>LEFT(K39,FIND( ",",K39)-1)</f>
        <v>Selasa</v>
      </c>
      <c r="M39" s="2" t="str">
        <f>MID(K39,FIND(",",K39)+2,LEN(K39))</f>
        <v>10:00 - 11:40</v>
      </c>
      <c r="N39" s="1" t="s">
        <v>224</v>
      </c>
    </row>
    <row r="40" spans="2:14" ht="30" hidden="1" customHeight="1" x14ac:dyDescent="0.3">
      <c r="B40" s="2">
        <v>14</v>
      </c>
      <c r="C40" s="2" t="s">
        <v>236</v>
      </c>
      <c r="D40" s="2">
        <v>70</v>
      </c>
      <c r="E40" s="2">
        <v>43</v>
      </c>
      <c r="F40" s="1" t="s">
        <v>251</v>
      </c>
      <c r="G40" s="1" t="s">
        <v>220</v>
      </c>
      <c r="H40" s="2" t="s">
        <v>252</v>
      </c>
      <c r="I40" s="11" t="s">
        <v>256</v>
      </c>
      <c r="J40" s="1" t="s">
        <v>255</v>
      </c>
      <c r="K40" s="1" t="s">
        <v>42</v>
      </c>
      <c r="L40" s="2" t="str">
        <f>LEFT(K40,FIND( ",",K40)-1)</f>
        <v>Selasa</v>
      </c>
      <c r="M40" s="2" t="str">
        <f>MID(K40,FIND(",",K40)+2,LEN(K40))</f>
        <v>13:00 - 14:40</v>
      </c>
      <c r="N40" s="1" t="s">
        <v>224</v>
      </c>
    </row>
    <row r="41" spans="2:14" ht="30" hidden="1" customHeight="1" x14ac:dyDescent="0.3">
      <c r="B41" s="2">
        <v>14</v>
      </c>
      <c r="C41" s="2" t="s">
        <v>236</v>
      </c>
      <c r="D41" s="2">
        <v>70</v>
      </c>
      <c r="E41" s="2">
        <v>52</v>
      </c>
      <c r="F41" s="1" t="s">
        <v>251</v>
      </c>
      <c r="G41" s="1" t="s">
        <v>220</v>
      </c>
      <c r="H41" s="2" t="s">
        <v>252</v>
      </c>
      <c r="I41" s="11" t="s">
        <v>253</v>
      </c>
      <c r="J41" s="1" t="s">
        <v>255</v>
      </c>
      <c r="K41" s="1" t="s">
        <v>257</v>
      </c>
      <c r="L41" s="2" t="str">
        <f>LEFT(K41,FIND( ",",K41)-1)</f>
        <v>Selasa</v>
      </c>
      <c r="M41" s="2" t="str">
        <f>MID(K41,FIND(",",K41)+2,LEN(K41))</f>
        <v>16:00 - 16:50</v>
      </c>
      <c r="N41" s="1" t="s">
        <v>224</v>
      </c>
    </row>
    <row r="42" spans="2:14" ht="30" hidden="1" customHeight="1" x14ac:dyDescent="0.3">
      <c r="B42" s="2">
        <v>14</v>
      </c>
      <c r="C42" s="2" t="s">
        <v>236</v>
      </c>
      <c r="D42" s="2">
        <v>70</v>
      </c>
      <c r="E42" s="2">
        <v>52</v>
      </c>
      <c r="F42" s="1" t="s">
        <v>251</v>
      </c>
      <c r="G42" s="1" t="s">
        <v>220</v>
      </c>
      <c r="H42" s="2" t="s">
        <v>252</v>
      </c>
      <c r="I42" s="11" t="s">
        <v>253</v>
      </c>
      <c r="J42" s="1" t="s">
        <v>254</v>
      </c>
      <c r="K42" s="1" t="s">
        <v>257</v>
      </c>
      <c r="L42" s="2" t="str">
        <f>LEFT(K42,FIND( ",",K42)-1)</f>
        <v>Selasa</v>
      </c>
      <c r="M42" s="2" t="str">
        <f>MID(K42,FIND(",",K42)+2,LEN(K42))</f>
        <v>16:00 - 16:50</v>
      </c>
      <c r="N42" s="1" t="s">
        <v>224</v>
      </c>
    </row>
    <row r="43" spans="2:14" ht="30" hidden="1" customHeight="1" x14ac:dyDescent="0.3">
      <c r="B43" s="2">
        <v>14</v>
      </c>
      <c r="C43" s="2" t="s">
        <v>236</v>
      </c>
      <c r="D43" s="2">
        <v>70</v>
      </c>
      <c r="E43" s="2">
        <v>66</v>
      </c>
      <c r="F43" s="1" t="s">
        <v>237</v>
      </c>
      <c r="G43" s="1" t="s">
        <v>173</v>
      </c>
      <c r="H43" s="2" t="s">
        <v>238</v>
      </c>
      <c r="I43" s="11" t="s">
        <v>239</v>
      </c>
      <c r="J43" s="1" t="s">
        <v>209</v>
      </c>
      <c r="K43" s="1" t="s">
        <v>5</v>
      </c>
      <c r="L43" s="2" t="str">
        <f>LEFT(K43,FIND( ",",K43)-1)</f>
        <v>Senin</v>
      </c>
      <c r="M43" s="2" t="str">
        <f>MID(K43,FIND(",",K43)+2,LEN(K43))</f>
        <v>08:00 - 09:40</v>
      </c>
      <c r="N43" s="1" t="s">
        <v>177</v>
      </c>
    </row>
    <row r="44" spans="2:14" ht="30" hidden="1" customHeight="1" x14ac:dyDescent="0.3">
      <c r="B44" s="2">
        <v>14</v>
      </c>
      <c r="C44" s="2" t="s">
        <v>236</v>
      </c>
      <c r="D44" s="2">
        <v>70</v>
      </c>
      <c r="E44" s="2">
        <v>59</v>
      </c>
      <c r="F44" s="1" t="s">
        <v>240</v>
      </c>
      <c r="G44" s="1" t="s">
        <v>227</v>
      </c>
      <c r="H44" s="2" t="s">
        <v>241</v>
      </c>
      <c r="I44" s="11" t="s">
        <v>242</v>
      </c>
      <c r="J44" s="1" t="s">
        <v>243</v>
      </c>
      <c r="K44" s="1" t="s">
        <v>12</v>
      </c>
      <c r="L44" s="2" t="str">
        <f>LEFT(K44,FIND( ",",K44)-1)</f>
        <v>Senin</v>
      </c>
      <c r="M44" s="2" t="str">
        <f>MID(K44,FIND(",",K44)+2,LEN(K44))</f>
        <v>10:00 - 11:40</v>
      </c>
      <c r="N44" s="1" t="s">
        <v>230</v>
      </c>
    </row>
    <row r="45" spans="2:14" ht="30" hidden="1" customHeight="1" x14ac:dyDescent="0.3">
      <c r="B45" s="2">
        <v>14</v>
      </c>
      <c r="C45" s="2" t="s">
        <v>236</v>
      </c>
      <c r="D45" s="2">
        <v>70</v>
      </c>
      <c r="E45" s="2">
        <v>6</v>
      </c>
      <c r="F45" s="1" t="s">
        <v>244</v>
      </c>
      <c r="G45" s="1" t="s">
        <v>220</v>
      </c>
      <c r="H45" s="2" t="s">
        <v>245</v>
      </c>
      <c r="I45" s="11" t="s">
        <v>246</v>
      </c>
      <c r="J45" s="1" t="s">
        <v>247</v>
      </c>
      <c r="K45" s="1" t="s">
        <v>21</v>
      </c>
      <c r="L45" s="2" t="str">
        <f>LEFT(K45,FIND( ",",K45)-1)</f>
        <v>Senin</v>
      </c>
      <c r="M45" s="2" t="str">
        <f>MID(K45,FIND(",",K45)+2,LEN(K45))</f>
        <v>15:00 - 16:40</v>
      </c>
      <c r="N45" s="1" t="s">
        <v>224</v>
      </c>
    </row>
    <row r="46" spans="2:14" ht="30" hidden="1" customHeight="1" x14ac:dyDescent="0.3">
      <c r="B46" s="5">
        <v>15</v>
      </c>
      <c r="C46" s="5" t="s">
        <v>268</v>
      </c>
      <c r="D46" s="5">
        <v>269</v>
      </c>
      <c r="E46" s="5">
        <v>13</v>
      </c>
      <c r="F46" s="7" t="s">
        <v>273</v>
      </c>
      <c r="G46" s="7" t="s">
        <v>220</v>
      </c>
      <c r="H46" s="5" t="s">
        <v>274</v>
      </c>
      <c r="I46" s="10" t="s">
        <v>275</v>
      </c>
      <c r="J46" s="7" t="s">
        <v>272</v>
      </c>
      <c r="K46" s="7" t="s">
        <v>285</v>
      </c>
      <c r="L46" s="5" t="str">
        <f>LEFT(K46,FIND( ",",K46)-1)</f>
        <v>Jumat</v>
      </c>
      <c r="M46" s="5" t="str">
        <f>MID(K46,FIND(",",K46)+2,LEN(K46))</f>
        <v>08:00 - 08:50</v>
      </c>
      <c r="N46" s="7" t="s">
        <v>224</v>
      </c>
    </row>
    <row r="47" spans="2:14" ht="30" hidden="1" customHeight="1" x14ac:dyDescent="0.3">
      <c r="B47" s="5">
        <v>15</v>
      </c>
      <c r="C47" s="5" t="s">
        <v>268</v>
      </c>
      <c r="D47" s="5">
        <v>269</v>
      </c>
      <c r="E47" s="5">
        <v>21</v>
      </c>
      <c r="F47" s="7" t="s">
        <v>269</v>
      </c>
      <c r="G47" s="7" t="s">
        <v>173</v>
      </c>
      <c r="H47" s="5" t="s">
        <v>270</v>
      </c>
      <c r="I47" s="10" t="s">
        <v>271</v>
      </c>
      <c r="J47" s="7" t="s">
        <v>272</v>
      </c>
      <c r="K47" s="7" t="s">
        <v>286</v>
      </c>
      <c r="L47" s="5" t="str">
        <f>LEFT(K47,FIND( ",",K47)-1)</f>
        <v>Jumat</v>
      </c>
      <c r="M47" s="5" t="str">
        <f>MID(K47,FIND(",",K47)+2,LEN(K47))</f>
        <v>09:00 - 09:50</v>
      </c>
      <c r="N47" s="7" t="s">
        <v>177</v>
      </c>
    </row>
    <row r="48" spans="2:14" ht="30" hidden="1" customHeight="1" x14ac:dyDescent="0.3">
      <c r="B48" s="5">
        <v>15</v>
      </c>
      <c r="C48" s="5" t="s">
        <v>268</v>
      </c>
      <c r="D48" s="5">
        <v>269</v>
      </c>
      <c r="E48" s="5">
        <v>21</v>
      </c>
      <c r="F48" s="7" t="s">
        <v>269</v>
      </c>
      <c r="G48" s="7" t="s">
        <v>173</v>
      </c>
      <c r="H48" s="5" t="s">
        <v>270</v>
      </c>
      <c r="I48" s="10" t="s">
        <v>271</v>
      </c>
      <c r="J48" s="7" t="s">
        <v>170</v>
      </c>
      <c r="K48" s="7" t="s">
        <v>286</v>
      </c>
      <c r="L48" s="5" t="str">
        <f>LEFT(K48,FIND( ",",K48)-1)</f>
        <v>Jumat</v>
      </c>
      <c r="M48" s="5" t="str">
        <f>MID(K48,FIND(",",K48)+2,LEN(K48))</f>
        <v>09:00 - 09:50</v>
      </c>
      <c r="N48" s="7" t="s">
        <v>177</v>
      </c>
    </row>
    <row r="49" spans="2:14" ht="30" hidden="1" customHeight="1" x14ac:dyDescent="0.3">
      <c r="B49" s="5">
        <v>31</v>
      </c>
      <c r="C49" s="5" t="s">
        <v>537</v>
      </c>
      <c r="D49" s="5">
        <v>80</v>
      </c>
      <c r="E49" s="5">
        <v>33</v>
      </c>
      <c r="F49" s="7" t="s">
        <v>214</v>
      </c>
      <c r="G49" s="7" t="s">
        <v>173</v>
      </c>
      <c r="H49" s="5" t="s">
        <v>215</v>
      </c>
      <c r="I49" s="10" t="s">
        <v>543</v>
      </c>
      <c r="J49" s="7" t="s">
        <v>340</v>
      </c>
      <c r="K49" s="7" t="s">
        <v>43</v>
      </c>
      <c r="L49" s="5" t="str">
        <f>LEFT(K49,FIND( ",",K49)-1)</f>
        <v>Kamis</v>
      </c>
      <c r="M49" s="5" t="str">
        <f>MID(K49,FIND(",",K49)+2,LEN(K49))</f>
        <v>08:00 - 09:40</v>
      </c>
      <c r="N49" s="7" t="s">
        <v>177</v>
      </c>
    </row>
    <row r="50" spans="2:14" ht="30" customHeight="1" x14ac:dyDescent="0.3">
      <c r="B50" s="5">
        <v>15</v>
      </c>
      <c r="C50" s="5" t="s">
        <v>268</v>
      </c>
      <c r="D50" s="5">
        <v>269</v>
      </c>
      <c r="E50" s="5">
        <v>22</v>
      </c>
      <c r="F50" s="7" t="s">
        <v>276</v>
      </c>
      <c r="G50" s="7" t="s">
        <v>220</v>
      </c>
      <c r="H50" s="5" t="s">
        <v>277</v>
      </c>
      <c r="I50" s="10" t="s">
        <v>278</v>
      </c>
      <c r="J50" s="7" t="s">
        <v>279</v>
      </c>
      <c r="K50" s="7" t="s">
        <v>284</v>
      </c>
      <c r="L50" s="5" t="str">
        <f>LEFT(K50,FIND( ",",K50)-1)</f>
        <v>Rabu</v>
      </c>
      <c r="M50" s="5" t="str">
        <f>MID(K50,FIND(",",K50)+2,LEN(K50))</f>
        <v>15:00 - 15:50</v>
      </c>
      <c r="N50" s="7" t="s">
        <v>224</v>
      </c>
    </row>
    <row r="51" spans="2:14" ht="30" hidden="1" customHeight="1" x14ac:dyDescent="0.3">
      <c r="B51" s="5">
        <v>15</v>
      </c>
      <c r="C51" s="5" t="s">
        <v>268</v>
      </c>
      <c r="D51" s="5">
        <v>269</v>
      </c>
      <c r="E51" s="5">
        <v>21</v>
      </c>
      <c r="F51" s="7" t="s">
        <v>269</v>
      </c>
      <c r="G51" s="7" t="s">
        <v>173</v>
      </c>
      <c r="H51" s="5" t="s">
        <v>270</v>
      </c>
      <c r="I51" s="10" t="s">
        <v>271</v>
      </c>
      <c r="J51" s="7" t="s">
        <v>272</v>
      </c>
      <c r="K51" s="7" t="s">
        <v>5</v>
      </c>
      <c r="L51" s="5" t="str">
        <f>LEFT(K51,FIND( ",",K51)-1)</f>
        <v>Senin</v>
      </c>
      <c r="M51" s="5" t="str">
        <f>MID(K51,FIND(",",K51)+2,LEN(K51))</f>
        <v>08:00 - 09:40</v>
      </c>
      <c r="N51" s="7" t="s">
        <v>177</v>
      </c>
    </row>
    <row r="52" spans="2:14" ht="30" hidden="1" customHeight="1" x14ac:dyDescent="0.3">
      <c r="B52" s="5">
        <v>15</v>
      </c>
      <c r="C52" s="5" t="s">
        <v>268</v>
      </c>
      <c r="D52" s="5">
        <v>269</v>
      </c>
      <c r="E52" s="5">
        <v>21</v>
      </c>
      <c r="F52" s="7" t="s">
        <v>269</v>
      </c>
      <c r="G52" s="7" t="s">
        <v>173</v>
      </c>
      <c r="H52" s="5" t="s">
        <v>270</v>
      </c>
      <c r="I52" s="10" t="s">
        <v>271</v>
      </c>
      <c r="J52" s="7" t="s">
        <v>170</v>
      </c>
      <c r="K52" s="7" t="s">
        <v>5</v>
      </c>
      <c r="L52" s="5" t="str">
        <f>LEFT(K52,FIND( ",",K52)-1)</f>
        <v>Senin</v>
      </c>
      <c r="M52" s="5" t="str">
        <f>MID(K52,FIND(",",K52)+2,LEN(K52))</f>
        <v>08:00 - 09:40</v>
      </c>
      <c r="N52" s="7" t="s">
        <v>177</v>
      </c>
    </row>
    <row r="53" spans="2:14" ht="30" hidden="1" customHeight="1" x14ac:dyDescent="0.3">
      <c r="B53" s="5">
        <v>15</v>
      </c>
      <c r="C53" s="5" t="s">
        <v>268</v>
      </c>
      <c r="D53" s="5">
        <v>269</v>
      </c>
      <c r="E53" s="5">
        <v>13</v>
      </c>
      <c r="F53" s="7" t="s">
        <v>273</v>
      </c>
      <c r="G53" s="7" t="s">
        <v>220</v>
      </c>
      <c r="H53" s="5" t="s">
        <v>274</v>
      </c>
      <c r="I53" s="10" t="s">
        <v>275</v>
      </c>
      <c r="J53" s="7" t="s">
        <v>272</v>
      </c>
      <c r="K53" s="7" t="s">
        <v>12</v>
      </c>
      <c r="L53" s="5" t="str">
        <f>LEFT(K53,FIND( ",",K53)-1)</f>
        <v>Senin</v>
      </c>
      <c r="M53" s="5" t="str">
        <f>MID(K53,FIND(",",K53)+2,LEN(K53))</f>
        <v>10:00 - 11:40</v>
      </c>
      <c r="N53" s="7" t="s">
        <v>224</v>
      </c>
    </row>
    <row r="54" spans="2:14" ht="30" hidden="1" customHeight="1" x14ac:dyDescent="0.3">
      <c r="B54" s="5">
        <v>15</v>
      </c>
      <c r="C54" s="5" t="s">
        <v>268</v>
      </c>
      <c r="D54" s="5">
        <v>269</v>
      </c>
      <c r="E54" s="5">
        <v>22</v>
      </c>
      <c r="F54" s="7" t="s">
        <v>276</v>
      </c>
      <c r="G54" s="7" t="s">
        <v>220</v>
      </c>
      <c r="H54" s="5" t="s">
        <v>277</v>
      </c>
      <c r="I54" s="10" t="s">
        <v>278</v>
      </c>
      <c r="J54" s="7" t="s">
        <v>279</v>
      </c>
      <c r="K54" s="7" t="s">
        <v>19</v>
      </c>
      <c r="L54" s="5" t="str">
        <f>LEFT(K54,FIND( ",",K54)-1)</f>
        <v>Senin</v>
      </c>
      <c r="M54" s="5" t="str">
        <f>MID(K54,FIND(",",K54)+2,LEN(K54))</f>
        <v>13:00 - 14:40</v>
      </c>
      <c r="N54" s="7" t="s">
        <v>224</v>
      </c>
    </row>
    <row r="55" spans="2:14" ht="30" hidden="1" customHeight="1" x14ac:dyDescent="0.3">
      <c r="B55" s="5">
        <v>15</v>
      </c>
      <c r="C55" s="5" t="s">
        <v>268</v>
      </c>
      <c r="D55" s="5">
        <v>269</v>
      </c>
      <c r="E55" s="5">
        <v>11</v>
      </c>
      <c r="F55" s="7" t="s">
        <v>280</v>
      </c>
      <c r="G55" s="7" t="s">
        <v>220</v>
      </c>
      <c r="H55" s="5" t="s">
        <v>281</v>
      </c>
      <c r="I55" s="10" t="s">
        <v>282</v>
      </c>
      <c r="J55" s="7" t="s">
        <v>283</v>
      </c>
      <c r="K55" s="7" t="s">
        <v>21</v>
      </c>
      <c r="L55" s="5" t="str">
        <f>LEFT(K55,FIND( ",",K55)-1)</f>
        <v>Senin</v>
      </c>
      <c r="M55" s="5" t="str">
        <f>MID(K55,FIND(",",K55)+2,LEN(K55))</f>
        <v>15:00 - 16:40</v>
      </c>
      <c r="N55" s="7" t="s">
        <v>224</v>
      </c>
    </row>
    <row r="56" spans="2:14" ht="30" hidden="1" customHeight="1" x14ac:dyDescent="0.3">
      <c r="B56" s="2">
        <v>16</v>
      </c>
      <c r="C56" s="2" t="s">
        <v>287</v>
      </c>
      <c r="D56" s="2">
        <v>65</v>
      </c>
      <c r="E56" s="2">
        <v>34</v>
      </c>
      <c r="F56" s="1" t="s">
        <v>273</v>
      </c>
      <c r="G56" s="1" t="s">
        <v>220</v>
      </c>
      <c r="H56" s="2" t="s">
        <v>274</v>
      </c>
      <c r="I56" s="11" t="s">
        <v>289</v>
      </c>
      <c r="J56" s="1" t="s">
        <v>290</v>
      </c>
      <c r="K56" s="1" t="s">
        <v>285</v>
      </c>
      <c r="L56" s="2" t="str">
        <f>LEFT(K56,FIND( ",",K56)-1)</f>
        <v>Jumat</v>
      </c>
      <c r="M56" s="2" t="str">
        <f>MID(K56,FIND(",",K56)+2,LEN(K56))</f>
        <v>08:00 - 08:50</v>
      </c>
      <c r="N56" s="1" t="s">
        <v>224</v>
      </c>
    </row>
    <row r="57" spans="2:14" ht="30" hidden="1" customHeight="1" x14ac:dyDescent="0.3">
      <c r="B57" s="2">
        <v>16</v>
      </c>
      <c r="C57" s="2" t="s">
        <v>287</v>
      </c>
      <c r="D57" s="2">
        <v>65</v>
      </c>
      <c r="E57" s="2">
        <v>32</v>
      </c>
      <c r="F57" s="1" t="s">
        <v>269</v>
      </c>
      <c r="G57" s="1" t="s">
        <v>173</v>
      </c>
      <c r="H57" s="2" t="s">
        <v>270</v>
      </c>
      <c r="I57" s="11" t="s">
        <v>288</v>
      </c>
      <c r="J57" s="1" t="s">
        <v>93</v>
      </c>
      <c r="K57" s="1" t="s">
        <v>286</v>
      </c>
      <c r="L57" s="2" t="str">
        <f>LEFT(K57,FIND( ",",K57)-1)</f>
        <v>Jumat</v>
      </c>
      <c r="M57" s="2" t="str">
        <f>MID(K57,FIND(",",K57)+2,LEN(K57))</f>
        <v>09:00 - 09:50</v>
      </c>
      <c r="N57" s="1" t="s">
        <v>177</v>
      </c>
    </row>
    <row r="58" spans="2:14" ht="30" customHeight="1" x14ac:dyDescent="0.3">
      <c r="B58" s="2">
        <v>16</v>
      </c>
      <c r="C58" s="2" t="s">
        <v>287</v>
      </c>
      <c r="D58" s="2">
        <v>65</v>
      </c>
      <c r="E58" s="2">
        <v>33</v>
      </c>
      <c r="F58" s="1" t="s">
        <v>276</v>
      </c>
      <c r="G58" s="1" t="s">
        <v>220</v>
      </c>
      <c r="H58" s="2" t="s">
        <v>277</v>
      </c>
      <c r="I58" s="11" t="s">
        <v>291</v>
      </c>
      <c r="J58" s="1" t="s">
        <v>279</v>
      </c>
      <c r="K58" s="1" t="s">
        <v>284</v>
      </c>
      <c r="L58" s="2" t="str">
        <f>LEFT(K58,FIND( ",",K58)-1)</f>
        <v>Rabu</v>
      </c>
      <c r="M58" s="2" t="str">
        <f>MID(K58,FIND(",",K58)+2,LEN(K58))</f>
        <v>15:00 - 15:50</v>
      </c>
      <c r="N58" s="1" t="s">
        <v>224</v>
      </c>
    </row>
    <row r="59" spans="2:14" ht="30" hidden="1" customHeight="1" x14ac:dyDescent="0.3">
      <c r="B59" s="2">
        <v>16</v>
      </c>
      <c r="C59" s="2" t="s">
        <v>287</v>
      </c>
      <c r="D59" s="2">
        <v>65</v>
      </c>
      <c r="E59" s="2">
        <v>32</v>
      </c>
      <c r="F59" s="1" t="s">
        <v>269</v>
      </c>
      <c r="G59" s="1" t="s">
        <v>173</v>
      </c>
      <c r="H59" s="2" t="s">
        <v>270</v>
      </c>
      <c r="I59" s="11" t="s">
        <v>288</v>
      </c>
      <c r="J59" s="1" t="s">
        <v>93</v>
      </c>
      <c r="K59" s="1" t="s">
        <v>5</v>
      </c>
      <c r="L59" s="2" t="str">
        <f>LEFT(K59,FIND( ",",K59)-1)</f>
        <v>Senin</v>
      </c>
      <c r="M59" s="2" t="str">
        <f>MID(K59,FIND(",",K59)+2,LEN(K59))</f>
        <v>08:00 - 09:40</v>
      </c>
      <c r="N59" s="1" t="s">
        <v>177</v>
      </c>
    </row>
    <row r="60" spans="2:14" ht="30" hidden="1" customHeight="1" x14ac:dyDescent="0.3">
      <c r="B60" s="2">
        <v>16</v>
      </c>
      <c r="C60" s="2" t="s">
        <v>287</v>
      </c>
      <c r="D60" s="2">
        <v>65</v>
      </c>
      <c r="E60" s="2">
        <v>34</v>
      </c>
      <c r="F60" s="1" t="s">
        <v>273</v>
      </c>
      <c r="G60" s="1" t="s">
        <v>220</v>
      </c>
      <c r="H60" s="2" t="s">
        <v>274</v>
      </c>
      <c r="I60" s="11" t="s">
        <v>289</v>
      </c>
      <c r="J60" s="1" t="s">
        <v>290</v>
      </c>
      <c r="K60" s="1" t="s">
        <v>12</v>
      </c>
      <c r="L60" s="2" t="str">
        <f>LEFT(K60,FIND( ",",K60)-1)</f>
        <v>Senin</v>
      </c>
      <c r="M60" s="2" t="str">
        <f>MID(K60,FIND(",",K60)+2,LEN(K60))</f>
        <v>10:00 - 11:40</v>
      </c>
      <c r="N60" s="1" t="s">
        <v>224</v>
      </c>
    </row>
    <row r="61" spans="2:14" ht="30" hidden="1" customHeight="1" x14ac:dyDescent="0.3">
      <c r="B61" s="2">
        <v>16</v>
      </c>
      <c r="C61" s="2" t="s">
        <v>287</v>
      </c>
      <c r="D61" s="2">
        <v>65</v>
      </c>
      <c r="E61" s="2">
        <v>33</v>
      </c>
      <c r="F61" s="1" t="s">
        <v>276</v>
      </c>
      <c r="G61" s="1" t="s">
        <v>220</v>
      </c>
      <c r="H61" s="2" t="s">
        <v>277</v>
      </c>
      <c r="I61" s="11" t="s">
        <v>291</v>
      </c>
      <c r="J61" s="1" t="s">
        <v>279</v>
      </c>
      <c r="K61" s="1" t="s">
        <v>19</v>
      </c>
      <c r="L61" s="2" t="str">
        <f>LEFT(K61,FIND( ",",K61)-1)</f>
        <v>Senin</v>
      </c>
      <c r="M61" s="2" t="str">
        <f>MID(K61,FIND(",",K61)+2,LEN(K61))</f>
        <v>13:00 - 14:40</v>
      </c>
      <c r="N61" s="1" t="s">
        <v>224</v>
      </c>
    </row>
    <row r="62" spans="2:14" ht="30" hidden="1" customHeight="1" x14ac:dyDescent="0.3">
      <c r="B62" s="5">
        <v>17</v>
      </c>
      <c r="C62" s="5" t="s">
        <v>292</v>
      </c>
      <c r="D62" s="5">
        <v>70</v>
      </c>
      <c r="E62" s="5">
        <v>8</v>
      </c>
      <c r="F62" s="7" t="s">
        <v>323</v>
      </c>
      <c r="G62" s="7" t="s">
        <v>220</v>
      </c>
      <c r="H62" s="5" t="s">
        <v>324</v>
      </c>
      <c r="I62" s="10" t="s">
        <v>325</v>
      </c>
      <c r="J62" s="7" t="s">
        <v>225</v>
      </c>
      <c r="K62" s="7" t="s">
        <v>24</v>
      </c>
      <c r="L62" s="5" t="str">
        <f>LEFT(K62,FIND( ",",K62)-1)</f>
        <v>Jumat</v>
      </c>
      <c r="M62" s="5" t="str">
        <f>MID(K62,FIND(",",K62)+2,LEN(K62))</f>
        <v>08:00 - 09:40</v>
      </c>
      <c r="N62" s="7" t="s">
        <v>224</v>
      </c>
    </row>
    <row r="63" spans="2:14" ht="30" hidden="1" customHeight="1" x14ac:dyDescent="0.3">
      <c r="B63" s="5">
        <v>33</v>
      </c>
      <c r="C63" s="5" t="s">
        <v>555</v>
      </c>
      <c r="D63" s="5">
        <v>61</v>
      </c>
      <c r="E63" s="5">
        <v>7</v>
      </c>
      <c r="F63" s="7" t="s">
        <v>355</v>
      </c>
      <c r="G63" s="7" t="s">
        <v>220</v>
      </c>
      <c r="H63" s="5" t="s">
        <v>356</v>
      </c>
      <c r="I63" s="10" t="s">
        <v>566</v>
      </c>
      <c r="J63" s="7" t="s">
        <v>28</v>
      </c>
      <c r="K63" s="7" t="s">
        <v>43</v>
      </c>
      <c r="L63" s="5" t="str">
        <f>LEFT(K63,FIND( ",",K63)-1)</f>
        <v>Kamis</v>
      </c>
      <c r="M63" s="5" t="str">
        <f>MID(K63,FIND(",",K63)+2,LEN(K63))</f>
        <v>08:00 - 09:40</v>
      </c>
      <c r="N63" s="7" t="s">
        <v>224</v>
      </c>
    </row>
    <row r="64" spans="2:14" ht="30" hidden="1" customHeight="1" x14ac:dyDescent="0.3">
      <c r="B64" s="5">
        <v>33</v>
      </c>
      <c r="C64" s="5" t="s">
        <v>555</v>
      </c>
      <c r="D64" s="5">
        <v>61</v>
      </c>
      <c r="E64" s="5">
        <v>7</v>
      </c>
      <c r="F64" s="7" t="s">
        <v>355</v>
      </c>
      <c r="G64" s="7" t="s">
        <v>220</v>
      </c>
      <c r="H64" s="5" t="s">
        <v>356</v>
      </c>
      <c r="I64" s="10" t="s">
        <v>566</v>
      </c>
      <c r="J64" s="7" t="s">
        <v>358</v>
      </c>
      <c r="K64" s="7" t="s">
        <v>43</v>
      </c>
      <c r="L64" s="5" t="str">
        <f>LEFT(K64,FIND( ",",K64)-1)</f>
        <v>Kamis</v>
      </c>
      <c r="M64" s="5" t="str">
        <f>MID(K64,FIND(",",K64)+2,LEN(K64))</f>
        <v>08:00 - 09:40</v>
      </c>
      <c r="N64" s="7" t="s">
        <v>224</v>
      </c>
    </row>
    <row r="65" spans="2:14" ht="30" hidden="1" customHeight="1" x14ac:dyDescent="0.3">
      <c r="B65" s="5">
        <v>17</v>
      </c>
      <c r="C65" s="5" t="s">
        <v>292</v>
      </c>
      <c r="D65" s="5">
        <v>70</v>
      </c>
      <c r="E65" s="5">
        <v>28</v>
      </c>
      <c r="F65" s="7" t="s">
        <v>302</v>
      </c>
      <c r="G65" s="7" t="s">
        <v>173</v>
      </c>
      <c r="H65" s="5" t="s">
        <v>303</v>
      </c>
      <c r="I65" s="10" t="s">
        <v>304</v>
      </c>
      <c r="J65" s="7" t="s">
        <v>305</v>
      </c>
      <c r="K65" s="7" t="s">
        <v>321</v>
      </c>
      <c r="L65" s="5" t="str">
        <f>LEFT(K65,FIND( ",",K65)-1)</f>
        <v>Kamis</v>
      </c>
      <c r="M65" s="5" t="str">
        <f>MID(K65,FIND(",",K65)+2,LEN(K65))</f>
        <v>09:00 - 09:50</v>
      </c>
      <c r="N65" s="7" t="s">
        <v>177</v>
      </c>
    </row>
    <row r="66" spans="2:14" ht="30" hidden="1" customHeight="1" x14ac:dyDescent="0.3">
      <c r="B66" s="2">
        <v>18</v>
      </c>
      <c r="C66" s="2" t="s">
        <v>326</v>
      </c>
      <c r="D66" s="2">
        <v>65</v>
      </c>
      <c r="E66" s="2">
        <v>26</v>
      </c>
      <c r="F66" s="1" t="s">
        <v>302</v>
      </c>
      <c r="G66" s="1" t="s">
        <v>173</v>
      </c>
      <c r="H66" s="2" t="s">
        <v>303</v>
      </c>
      <c r="I66" s="11" t="s">
        <v>335</v>
      </c>
      <c r="J66" s="1" t="s">
        <v>336</v>
      </c>
      <c r="K66" s="1" t="s">
        <v>321</v>
      </c>
      <c r="L66" s="2" t="str">
        <f>LEFT(K66,FIND( ",",K66)-1)</f>
        <v>Kamis</v>
      </c>
      <c r="M66" s="2" t="str">
        <f>MID(K66,FIND(",",K66)+2,LEN(K66))</f>
        <v>09:00 - 09:50</v>
      </c>
      <c r="N66" s="1" t="s">
        <v>177</v>
      </c>
    </row>
    <row r="67" spans="2:14" ht="30" customHeight="1" x14ac:dyDescent="0.3">
      <c r="B67" s="5">
        <v>17</v>
      </c>
      <c r="C67" s="5" t="s">
        <v>292</v>
      </c>
      <c r="D67" s="5">
        <v>70</v>
      </c>
      <c r="E67" s="5">
        <v>10</v>
      </c>
      <c r="F67" s="7" t="s">
        <v>293</v>
      </c>
      <c r="G67" s="7" t="s">
        <v>173</v>
      </c>
      <c r="H67" s="5" t="s">
        <v>294</v>
      </c>
      <c r="I67" s="10" t="s">
        <v>295</v>
      </c>
      <c r="J67" s="7" t="s">
        <v>296</v>
      </c>
      <c r="K67" s="7" t="s">
        <v>23</v>
      </c>
      <c r="L67" s="5" t="str">
        <f>LEFT(K67,FIND( ",",K67)-1)</f>
        <v>Rabu</v>
      </c>
      <c r="M67" s="5" t="str">
        <f>MID(K67,FIND(",",K67)+2,LEN(K67))</f>
        <v>08:00 - 09:40</v>
      </c>
      <c r="N67" s="7" t="s">
        <v>177</v>
      </c>
    </row>
    <row r="68" spans="2:14" ht="30" customHeight="1" x14ac:dyDescent="0.3">
      <c r="B68" s="5">
        <v>17</v>
      </c>
      <c r="C68" s="5" t="s">
        <v>292</v>
      </c>
      <c r="D68" s="5">
        <v>70</v>
      </c>
      <c r="E68" s="5">
        <v>43</v>
      </c>
      <c r="F68" s="7" t="s">
        <v>297</v>
      </c>
      <c r="G68" s="7" t="s">
        <v>220</v>
      </c>
      <c r="H68" s="5" t="s">
        <v>298</v>
      </c>
      <c r="I68" s="10" t="s">
        <v>299</v>
      </c>
      <c r="J68" s="7" t="s">
        <v>229</v>
      </c>
      <c r="K68" s="7" t="s">
        <v>31</v>
      </c>
      <c r="L68" s="5" t="str">
        <f>LEFT(K68,FIND( ",",K68)-1)</f>
        <v>Rabu</v>
      </c>
      <c r="M68" s="5" t="str">
        <f>MID(K68,FIND(",",K68)+2,LEN(K68))</f>
        <v>10:00 - 11:40</v>
      </c>
      <c r="N68" s="7" t="s">
        <v>224</v>
      </c>
    </row>
    <row r="69" spans="2:14" ht="30" customHeight="1" x14ac:dyDescent="0.3">
      <c r="B69" s="5">
        <v>17</v>
      </c>
      <c r="C69" s="5" t="s">
        <v>292</v>
      </c>
      <c r="D69" s="5">
        <v>70</v>
      </c>
      <c r="E69" s="5">
        <v>23</v>
      </c>
      <c r="F69" s="7" t="s">
        <v>276</v>
      </c>
      <c r="G69" s="7" t="s">
        <v>220</v>
      </c>
      <c r="H69" s="5" t="s">
        <v>277</v>
      </c>
      <c r="I69" s="10" t="s">
        <v>300</v>
      </c>
      <c r="J69" s="7" t="s">
        <v>301</v>
      </c>
      <c r="K69" s="7" t="s">
        <v>284</v>
      </c>
      <c r="L69" s="5" t="str">
        <f>LEFT(K69,FIND( ",",K69)-1)</f>
        <v>Rabu</v>
      </c>
      <c r="M69" s="5" t="str">
        <f>MID(K69,FIND(",",K69)+2,LEN(K69))</f>
        <v>15:00 - 15:50</v>
      </c>
      <c r="N69" s="7" t="s">
        <v>224</v>
      </c>
    </row>
    <row r="70" spans="2:14" ht="30" customHeight="1" x14ac:dyDescent="0.3">
      <c r="B70" s="5">
        <v>17</v>
      </c>
      <c r="C70" s="5" t="s">
        <v>292</v>
      </c>
      <c r="D70" s="5">
        <v>70</v>
      </c>
      <c r="E70" s="5">
        <v>33</v>
      </c>
      <c r="F70" s="7" t="s">
        <v>316</v>
      </c>
      <c r="G70" s="7" t="s">
        <v>173</v>
      </c>
      <c r="H70" s="5" t="s">
        <v>317</v>
      </c>
      <c r="I70" s="10" t="s">
        <v>318</v>
      </c>
      <c r="J70" s="7" t="s">
        <v>319</v>
      </c>
      <c r="K70" s="7" t="s">
        <v>320</v>
      </c>
      <c r="L70" s="5" t="str">
        <f>LEFT(K70,FIND( ",",K70)-1)</f>
        <v>Rabu</v>
      </c>
      <c r="M70" s="5" t="str">
        <f>MID(K70,FIND(",",K70)+2,LEN(K70))</f>
        <v>16:00 - 17:40</v>
      </c>
      <c r="N70" s="7" t="s">
        <v>177</v>
      </c>
    </row>
    <row r="71" spans="2:14" ht="30" hidden="1" customHeight="1" x14ac:dyDescent="0.3">
      <c r="B71" s="5">
        <v>17</v>
      </c>
      <c r="C71" s="5" t="s">
        <v>292</v>
      </c>
      <c r="D71" s="5">
        <v>70</v>
      </c>
      <c r="E71" s="5">
        <v>28</v>
      </c>
      <c r="F71" s="7" t="s">
        <v>302</v>
      </c>
      <c r="G71" s="7" t="s">
        <v>173</v>
      </c>
      <c r="H71" s="5" t="s">
        <v>303</v>
      </c>
      <c r="I71" s="10" t="s">
        <v>304</v>
      </c>
      <c r="J71" s="7" t="s">
        <v>305</v>
      </c>
      <c r="K71" s="7" t="s">
        <v>29</v>
      </c>
      <c r="L71" s="5" t="str">
        <f>LEFT(K71,FIND( ",",K71)-1)</f>
        <v>Selasa</v>
      </c>
      <c r="M71" s="5" t="str">
        <f>MID(K71,FIND(",",K71)+2,LEN(K71))</f>
        <v>08:00 - 09:40</v>
      </c>
      <c r="N71" s="7" t="s">
        <v>177</v>
      </c>
    </row>
    <row r="72" spans="2:14" ht="30" hidden="1" customHeight="1" x14ac:dyDescent="0.3">
      <c r="B72" s="5">
        <v>17</v>
      </c>
      <c r="C72" s="5" t="s">
        <v>292</v>
      </c>
      <c r="D72" s="5">
        <v>70</v>
      </c>
      <c r="E72" s="5">
        <v>4</v>
      </c>
      <c r="F72" s="7" t="s">
        <v>306</v>
      </c>
      <c r="G72" s="7" t="s">
        <v>173</v>
      </c>
      <c r="H72" s="5" t="s">
        <v>307</v>
      </c>
      <c r="I72" s="10" t="s">
        <v>308</v>
      </c>
      <c r="J72" s="7" t="s">
        <v>41</v>
      </c>
      <c r="K72" s="7" t="s">
        <v>37</v>
      </c>
      <c r="L72" s="5" t="str">
        <f>LEFT(K72,FIND( ",",K72)-1)</f>
        <v>Selasa</v>
      </c>
      <c r="M72" s="5" t="str">
        <f>MID(K72,FIND(",",K72)+2,LEN(K72))</f>
        <v>10:00 - 11:40</v>
      </c>
      <c r="N72" s="7" t="s">
        <v>177</v>
      </c>
    </row>
    <row r="73" spans="2:14" ht="30" hidden="1" customHeight="1" x14ac:dyDescent="0.3">
      <c r="B73" s="5">
        <v>17</v>
      </c>
      <c r="C73" s="5" t="s">
        <v>292</v>
      </c>
      <c r="D73" s="5">
        <v>70</v>
      </c>
      <c r="E73" s="5">
        <v>11</v>
      </c>
      <c r="F73" s="7" t="s">
        <v>309</v>
      </c>
      <c r="G73" s="7" t="s">
        <v>173</v>
      </c>
      <c r="H73" s="5" t="s">
        <v>310</v>
      </c>
      <c r="I73" s="10" t="s">
        <v>311</v>
      </c>
      <c r="J73" s="7" t="s">
        <v>301</v>
      </c>
      <c r="K73" s="7" t="s">
        <v>42</v>
      </c>
      <c r="L73" s="5" t="str">
        <f>LEFT(K73,FIND( ",",K73)-1)</f>
        <v>Selasa</v>
      </c>
      <c r="M73" s="5" t="str">
        <f>MID(K73,FIND(",",K73)+2,LEN(K73))</f>
        <v>13:00 - 14:40</v>
      </c>
      <c r="N73" s="7" t="s">
        <v>177</v>
      </c>
    </row>
    <row r="74" spans="2:14" ht="30" hidden="1" customHeight="1" x14ac:dyDescent="0.3">
      <c r="B74" s="5">
        <v>17</v>
      </c>
      <c r="C74" s="5" t="s">
        <v>292</v>
      </c>
      <c r="D74" s="5">
        <v>70</v>
      </c>
      <c r="E74" s="5">
        <v>13</v>
      </c>
      <c r="F74" s="7" t="s">
        <v>312</v>
      </c>
      <c r="G74" s="7" t="s">
        <v>220</v>
      </c>
      <c r="H74" s="5" t="s">
        <v>313</v>
      </c>
      <c r="I74" s="10" t="s">
        <v>314</v>
      </c>
      <c r="J74" s="7" t="s">
        <v>315</v>
      </c>
      <c r="K74" s="7" t="s">
        <v>194</v>
      </c>
      <c r="L74" s="5" t="str">
        <f>LEFT(K74,FIND( ",",K74)-1)</f>
        <v>Selasa</v>
      </c>
      <c r="M74" s="5" t="str">
        <f>MID(K74,FIND(",",K74)+2,LEN(K74))</f>
        <v>15:00 - 16:40</v>
      </c>
      <c r="N74" s="7" t="s">
        <v>224</v>
      </c>
    </row>
    <row r="75" spans="2:14" ht="30" hidden="1" customHeight="1" x14ac:dyDescent="0.3">
      <c r="B75" s="5">
        <v>17</v>
      </c>
      <c r="C75" s="5" t="s">
        <v>292</v>
      </c>
      <c r="D75" s="5">
        <v>70</v>
      </c>
      <c r="E75" s="5">
        <v>10</v>
      </c>
      <c r="F75" s="7" t="s">
        <v>293</v>
      </c>
      <c r="G75" s="7" t="s">
        <v>173</v>
      </c>
      <c r="H75" s="5" t="s">
        <v>294</v>
      </c>
      <c r="I75" s="10" t="s">
        <v>295</v>
      </c>
      <c r="J75" s="7" t="s">
        <v>296</v>
      </c>
      <c r="K75" s="7" t="s">
        <v>5</v>
      </c>
      <c r="L75" s="5" t="str">
        <f>LEFT(K75,FIND( ",",K75)-1)</f>
        <v>Senin</v>
      </c>
      <c r="M75" s="5" t="str">
        <f>MID(K75,FIND(",",K75)+2,LEN(K75))</f>
        <v>08:00 - 09:40</v>
      </c>
      <c r="N75" s="7" t="s">
        <v>177</v>
      </c>
    </row>
    <row r="76" spans="2:14" ht="30" hidden="1" customHeight="1" x14ac:dyDescent="0.3">
      <c r="B76" s="5">
        <v>17</v>
      </c>
      <c r="C76" s="5" t="s">
        <v>292</v>
      </c>
      <c r="D76" s="5">
        <v>70</v>
      </c>
      <c r="E76" s="5">
        <v>43</v>
      </c>
      <c r="F76" s="7" t="s">
        <v>297</v>
      </c>
      <c r="G76" s="7" t="s">
        <v>220</v>
      </c>
      <c r="H76" s="5" t="s">
        <v>298</v>
      </c>
      <c r="I76" s="10" t="s">
        <v>299</v>
      </c>
      <c r="J76" s="7" t="s">
        <v>229</v>
      </c>
      <c r="K76" s="7" t="s">
        <v>12</v>
      </c>
      <c r="L76" s="5" t="str">
        <f>LEFT(K76,FIND( ",",K76)-1)</f>
        <v>Senin</v>
      </c>
      <c r="M76" s="5" t="str">
        <f>MID(K76,FIND(",",K76)+2,LEN(K76))</f>
        <v>10:00 - 11:40</v>
      </c>
      <c r="N76" s="7" t="s">
        <v>224</v>
      </c>
    </row>
    <row r="77" spans="2:14" ht="30" hidden="1" customHeight="1" x14ac:dyDescent="0.3">
      <c r="B77" s="5">
        <v>17</v>
      </c>
      <c r="C77" s="5" t="s">
        <v>292</v>
      </c>
      <c r="D77" s="5">
        <v>70</v>
      </c>
      <c r="E77" s="5">
        <v>23</v>
      </c>
      <c r="F77" s="7" t="s">
        <v>276</v>
      </c>
      <c r="G77" s="7" t="s">
        <v>220</v>
      </c>
      <c r="H77" s="5" t="s">
        <v>277</v>
      </c>
      <c r="I77" s="10" t="s">
        <v>300</v>
      </c>
      <c r="J77" s="7" t="s">
        <v>301</v>
      </c>
      <c r="K77" s="7" t="s">
        <v>19</v>
      </c>
      <c r="L77" s="5" t="str">
        <f>LEFT(K77,FIND( ",",K77)-1)</f>
        <v>Senin</v>
      </c>
      <c r="M77" s="5" t="str">
        <f>MID(K77,FIND(",",K77)+2,LEN(K77))</f>
        <v>13:00 - 14:40</v>
      </c>
      <c r="N77" s="7" t="s">
        <v>224</v>
      </c>
    </row>
    <row r="78" spans="2:14" ht="30" hidden="1" customHeight="1" x14ac:dyDescent="0.3">
      <c r="B78" s="2">
        <v>18</v>
      </c>
      <c r="C78" s="2" t="s">
        <v>326</v>
      </c>
      <c r="D78" s="2">
        <v>65</v>
      </c>
      <c r="E78" s="2">
        <v>26</v>
      </c>
      <c r="F78" s="1" t="s">
        <v>302</v>
      </c>
      <c r="G78" s="1" t="s">
        <v>173</v>
      </c>
      <c r="H78" s="2" t="s">
        <v>303</v>
      </c>
      <c r="I78" s="11" t="s">
        <v>335</v>
      </c>
      <c r="J78" s="1" t="s">
        <v>336</v>
      </c>
      <c r="K78" s="1" t="s">
        <v>285</v>
      </c>
      <c r="L78" s="2" t="str">
        <f>LEFT(K78,FIND( ",",K78)-1)</f>
        <v>Jumat</v>
      </c>
      <c r="M78" s="2" t="str">
        <f>MID(K78,FIND(",",K78)+2,LEN(K78))</f>
        <v>08:00 - 08:50</v>
      </c>
      <c r="N78" s="1" t="s">
        <v>177</v>
      </c>
    </row>
    <row r="79" spans="2:14" ht="30" hidden="1" customHeight="1" x14ac:dyDescent="0.3">
      <c r="B79" s="2">
        <v>20</v>
      </c>
      <c r="C79" s="2" t="s">
        <v>371</v>
      </c>
      <c r="D79" s="2">
        <v>65</v>
      </c>
      <c r="E79" s="2">
        <v>8</v>
      </c>
      <c r="F79" s="1" t="s">
        <v>379</v>
      </c>
      <c r="G79" s="1" t="s">
        <v>220</v>
      </c>
      <c r="H79" s="2" t="s">
        <v>380</v>
      </c>
      <c r="I79" s="11" t="s">
        <v>381</v>
      </c>
      <c r="J79" s="1" t="s">
        <v>382</v>
      </c>
      <c r="K79" s="1" t="s">
        <v>321</v>
      </c>
      <c r="L79" s="2" t="str">
        <f>LEFT(K79,FIND( ",",K79)-1)</f>
        <v>Kamis</v>
      </c>
      <c r="M79" s="2" t="str">
        <f>MID(K79,FIND(",",K79)+2,LEN(K79))</f>
        <v>09:00 - 09:50</v>
      </c>
      <c r="N79" s="1" t="s">
        <v>224</v>
      </c>
    </row>
    <row r="80" spans="2:14" ht="30" hidden="1" customHeight="1" x14ac:dyDescent="0.3">
      <c r="B80" s="5">
        <v>21</v>
      </c>
      <c r="C80" s="5" t="s">
        <v>390</v>
      </c>
      <c r="D80" s="5">
        <v>75</v>
      </c>
      <c r="E80" s="5">
        <v>41</v>
      </c>
      <c r="F80" s="7" t="s">
        <v>397</v>
      </c>
      <c r="G80" s="7" t="s">
        <v>220</v>
      </c>
      <c r="H80" s="5" t="s">
        <v>398</v>
      </c>
      <c r="I80" s="10" t="s">
        <v>403</v>
      </c>
      <c r="J80" s="7" t="s">
        <v>400</v>
      </c>
      <c r="K80" s="7" t="s">
        <v>321</v>
      </c>
      <c r="L80" s="5" t="str">
        <f>LEFT(K80,FIND( ",",K80)-1)</f>
        <v>Kamis</v>
      </c>
      <c r="M80" s="5" t="str">
        <f>MID(K80,FIND(",",K80)+2,LEN(K80))</f>
        <v>09:00 - 09:50</v>
      </c>
      <c r="N80" s="7" t="s">
        <v>224</v>
      </c>
    </row>
    <row r="81" spans="2:14" ht="30" hidden="1" customHeight="1" x14ac:dyDescent="0.3">
      <c r="B81" s="5">
        <v>27</v>
      </c>
      <c r="C81" s="5" t="s">
        <v>467</v>
      </c>
      <c r="D81" s="5">
        <v>100</v>
      </c>
      <c r="E81" s="5">
        <v>10</v>
      </c>
      <c r="F81" s="7" t="s">
        <v>379</v>
      </c>
      <c r="G81" s="7" t="s">
        <v>220</v>
      </c>
      <c r="H81" s="5" t="s">
        <v>380</v>
      </c>
      <c r="I81" s="10" t="s">
        <v>475</v>
      </c>
      <c r="J81" s="7" t="s">
        <v>428</v>
      </c>
      <c r="K81" s="7" t="s">
        <v>321</v>
      </c>
      <c r="L81" s="5" t="str">
        <f>LEFT(K81,FIND( ",",K81)-1)</f>
        <v>Kamis</v>
      </c>
      <c r="M81" s="5" t="str">
        <f>MID(K81,FIND(",",K81)+2,LEN(K81))</f>
        <v>09:00 - 09:50</v>
      </c>
      <c r="N81" s="7" t="s">
        <v>224</v>
      </c>
    </row>
    <row r="82" spans="2:14" ht="30" customHeight="1" x14ac:dyDescent="0.3">
      <c r="B82" s="2">
        <v>18</v>
      </c>
      <c r="C82" s="2" t="s">
        <v>326</v>
      </c>
      <c r="D82" s="2">
        <v>65</v>
      </c>
      <c r="E82" s="2">
        <v>12</v>
      </c>
      <c r="F82" s="1" t="s">
        <v>330</v>
      </c>
      <c r="G82" s="1" t="s">
        <v>173</v>
      </c>
      <c r="H82" s="2" t="s">
        <v>331</v>
      </c>
      <c r="I82" s="11" t="s">
        <v>332</v>
      </c>
      <c r="J82" s="1" t="s">
        <v>18</v>
      </c>
      <c r="K82" s="1" t="s">
        <v>31</v>
      </c>
      <c r="L82" s="2" t="str">
        <f>LEFT(K82,FIND( ",",K82)-1)</f>
        <v>Rabu</v>
      </c>
      <c r="M82" s="2" t="str">
        <f>MID(K82,FIND(",",K82)+2,LEN(K82))</f>
        <v>10:00 - 11:40</v>
      </c>
      <c r="N82" s="1" t="s">
        <v>177</v>
      </c>
    </row>
    <row r="83" spans="2:14" ht="30" customHeight="1" x14ac:dyDescent="0.3">
      <c r="B83" s="2">
        <v>18</v>
      </c>
      <c r="C83" s="2" t="s">
        <v>326</v>
      </c>
      <c r="D83" s="2">
        <v>65</v>
      </c>
      <c r="E83" s="2">
        <v>7</v>
      </c>
      <c r="F83" s="1" t="s">
        <v>330</v>
      </c>
      <c r="G83" s="1" t="s">
        <v>173</v>
      </c>
      <c r="H83" s="2" t="s">
        <v>331</v>
      </c>
      <c r="I83" s="11" t="s">
        <v>333</v>
      </c>
      <c r="J83" s="1" t="s">
        <v>334</v>
      </c>
      <c r="K83" s="1" t="s">
        <v>196</v>
      </c>
      <c r="L83" s="2" t="str">
        <f>LEFT(K83,FIND( ",",K83)-1)</f>
        <v>Rabu</v>
      </c>
      <c r="M83" s="2" t="str">
        <f>MID(K83,FIND(",",K83)+2,LEN(K83))</f>
        <v>14:00 - 15:40</v>
      </c>
      <c r="N83" s="1" t="s">
        <v>177</v>
      </c>
    </row>
    <row r="84" spans="2:14" ht="30" customHeight="1" x14ac:dyDescent="0.3">
      <c r="B84" s="2">
        <v>18</v>
      </c>
      <c r="C84" s="2" t="s">
        <v>326</v>
      </c>
      <c r="D84" s="2">
        <v>65</v>
      </c>
      <c r="E84" s="2">
        <v>7</v>
      </c>
      <c r="F84" s="1" t="s">
        <v>330</v>
      </c>
      <c r="G84" s="1" t="s">
        <v>173</v>
      </c>
      <c r="H84" s="2" t="s">
        <v>331</v>
      </c>
      <c r="I84" s="11" t="s">
        <v>333</v>
      </c>
      <c r="J84" s="1" t="s">
        <v>250</v>
      </c>
      <c r="K84" s="1" t="s">
        <v>196</v>
      </c>
      <c r="L84" s="2" t="str">
        <f>LEFT(K84,FIND( ",",K84)-1)</f>
        <v>Rabu</v>
      </c>
      <c r="M84" s="2" t="str">
        <f>MID(K84,FIND(",",K84)+2,LEN(K84))</f>
        <v>14:00 - 15:40</v>
      </c>
      <c r="N84" s="1" t="s">
        <v>177</v>
      </c>
    </row>
    <row r="85" spans="2:14" ht="30" hidden="1" customHeight="1" x14ac:dyDescent="0.3">
      <c r="B85" s="2">
        <v>18</v>
      </c>
      <c r="C85" s="2" t="s">
        <v>326</v>
      </c>
      <c r="D85" s="2">
        <v>65</v>
      </c>
      <c r="E85" s="2">
        <v>26</v>
      </c>
      <c r="F85" s="1" t="s">
        <v>302</v>
      </c>
      <c r="G85" s="1" t="s">
        <v>173</v>
      </c>
      <c r="H85" s="2" t="s">
        <v>303</v>
      </c>
      <c r="I85" s="11" t="s">
        <v>335</v>
      </c>
      <c r="J85" s="1" t="s">
        <v>336</v>
      </c>
      <c r="K85" s="1" t="s">
        <v>29</v>
      </c>
      <c r="L85" s="2" t="str">
        <f>LEFT(K85,FIND( ",",K85)-1)</f>
        <v>Selasa</v>
      </c>
      <c r="M85" s="2" t="str">
        <f>MID(K85,FIND(",",K85)+2,LEN(K85))</f>
        <v>08:00 - 09:40</v>
      </c>
      <c r="N85" s="1" t="s">
        <v>177</v>
      </c>
    </row>
    <row r="86" spans="2:14" ht="30" hidden="1" customHeight="1" x14ac:dyDescent="0.3">
      <c r="B86" s="2">
        <v>18</v>
      </c>
      <c r="C86" s="2" t="s">
        <v>326</v>
      </c>
      <c r="D86" s="2">
        <v>65</v>
      </c>
      <c r="E86" s="2">
        <v>19</v>
      </c>
      <c r="F86" s="1" t="s">
        <v>337</v>
      </c>
      <c r="G86" s="1" t="s">
        <v>173</v>
      </c>
      <c r="H86" s="2" t="s">
        <v>338</v>
      </c>
      <c r="I86" s="11" t="s">
        <v>339</v>
      </c>
      <c r="J86" s="1" t="s">
        <v>340</v>
      </c>
      <c r="K86" s="1" t="s">
        <v>37</v>
      </c>
      <c r="L86" s="2" t="str">
        <f>LEFT(K86,FIND( ",",K86)-1)</f>
        <v>Selasa</v>
      </c>
      <c r="M86" s="2" t="str">
        <f>MID(K86,FIND(",",K86)+2,LEN(K86))</f>
        <v>10:00 - 11:40</v>
      </c>
      <c r="N86" s="1" t="s">
        <v>177</v>
      </c>
    </row>
    <row r="87" spans="2:14" ht="30" hidden="1" customHeight="1" x14ac:dyDescent="0.3">
      <c r="B87" s="2">
        <v>18</v>
      </c>
      <c r="C87" s="2" t="s">
        <v>326</v>
      </c>
      <c r="D87" s="2">
        <v>65</v>
      </c>
      <c r="E87" s="2">
        <v>4</v>
      </c>
      <c r="F87" s="1" t="s">
        <v>341</v>
      </c>
      <c r="G87" s="1" t="s">
        <v>173</v>
      </c>
      <c r="H87" s="2" t="s">
        <v>342</v>
      </c>
      <c r="I87" s="11" t="s">
        <v>343</v>
      </c>
      <c r="J87" s="1" t="s">
        <v>296</v>
      </c>
      <c r="K87" s="1" t="s">
        <v>344</v>
      </c>
      <c r="L87" s="2" t="str">
        <f>LEFT(K87,FIND( ",",K87)-1)</f>
        <v>Selasa</v>
      </c>
      <c r="M87" s="2" t="str">
        <f>MID(K87,FIND(",",K87)+2,LEN(K87))</f>
        <v>13:00 - 15:30</v>
      </c>
      <c r="N87" s="1" t="s">
        <v>177</v>
      </c>
    </row>
    <row r="88" spans="2:14" ht="30" hidden="1" customHeight="1" x14ac:dyDescent="0.3">
      <c r="B88" s="2">
        <v>18</v>
      </c>
      <c r="C88" s="2" t="s">
        <v>326</v>
      </c>
      <c r="D88" s="2">
        <v>65</v>
      </c>
      <c r="E88" s="2">
        <v>43</v>
      </c>
      <c r="F88" s="1" t="s">
        <v>251</v>
      </c>
      <c r="G88" s="1" t="s">
        <v>220</v>
      </c>
      <c r="H88" s="2" t="s">
        <v>252</v>
      </c>
      <c r="I88" s="11" t="s">
        <v>256</v>
      </c>
      <c r="J88" s="1" t="s">
        <v>255</v>
      </c>
      <c r="K88" s="1" t="s">
        <v>257</v>
      </c>
      <c r="L88" s="2" t="str">
        <f>LEFT(K88,FIND( ",",K88)-1)</f>
        <v>Selasa</v>
      </c>
      <c r="M88" s="2" t="str">
        <f>MID(K88,FIND(",",K88)+2,LEN(K88))</f>
        <v>16:00 - 16:50</v>
      </c>
      <c r="N88" s="1" t="s">
        <v>224</v>
      </c>
    </row>
    <row r="89" spans="2:14" ht="30" hidden="1" customHeight="1" x14ac:dyDescent="0.3">
      <c r="B89" s="2">
        <v>18</v>
      </c>
      <c r="C89" s="2" t="s">
        <v>326</v>
      </c>
      <c r="D89" s="2">
        <v>65</v>
      </c>
      <c r="E89" s="2">
        <v>11</v>
      </c>
      <c r="F89" s="1" t="s">
        <v>172</v>
      </c>
      <c r="G89" s="1" t="s">
        <v>173</v>
      </c>
      <c r="H89" s="2" t="s">
        <v>174</v>
      </c>
      <c r="I89" s="11" t="s">
        <v>327</v>
      </c>
      <c r="J89" s="1" t="s">
        <v>328</v>
      </c>
      <c r="K89" s="1" t="s">
        <v>5</v>
      </c>
      <c r="L89" s="2" t="str">
        <f>LEFT(K89,FIND( ",",K89)-1)</f>
        <v>Senin</v>
      </c>
      <c r="M89" s="2" t="str">
        <f>MID(K89,FIND(",",K89)+2,LEN(K89))</f>
        <v>08:00 - 09:40</v>
      </c>
      <c r="N89" s="1" t="s">
        <v>177</v>
      </c>
    </row>
    <row r="90" spans="2:14" ht="30" hidden="1" customHeight="1" x14ac:dyDescent="0.3">
      <c r="B90" s="2">
        <v>18</v>
      </c>
      <c r="C90" s="2" t="s">
        <v>326</v>
      </c>
      <c r="D90" s="2">
        <v>65</v>
      </c>
      <c r="E90" s="2">
        <v>11</v>
      </c>
      <c r="F90" s="1" t="s">
        <v>172</v>
      </c>
      <c r="G90" s="1" t="s">
        <v>173</v>
      </c>
      <c r="H90" s="2" t="s">
        <v>174</v>
      </c>
      <c r="I90" s="11" t="s">
        <v>327</v>
      </c>
      <c r="J90" s="1" t="s">
        <v>329</v>
      </c>
      <c r="K90" s="1" t="s">
        <v>5</v>
      </c>
      <c r="L90" s="2" t="str">
        <f>LEFT(K90,FIND( ",",K90)-1)</f>
        <v>Senin</v>
      </c>
      <c r="M90" s="2" t="str">
        <f>MID(K90,FIND(",",K90)+2,LEN(K90))</f>
        <v>08:00 - 09:40</v>
      </c>
      <c r="N90" s="1" t="s">
        <v>177</v>
      </c>
    </row>
    <row r="91" spans="2:14" ht="30" hidden="1" customHeight="1" x14ac:dyDescent="0.3">
      <c r="B91" s="2">
        <v>18</v>
      </c>
      <c r="C91" s="2" t="s">
        <v>326</v>
      </c>
      <c r="D91" s="2">
        <v>65</v>
      </c>
      <c r="E91" s="2">
        <v>12</v>
      </c>
      <c r="F91" s="1" t="s">
        <v>330</v>
      </c>
      <c r="G91" s="1" t="s">
        <v>173</v>
      </c>
      <c r="H91" s="2" t="s">
        <v>331</v>
      </c>
      <c r="I91" s="11" t="s">
        <v>332</v>
      </c>
      <c r="J91" s="1" t="s">
        <v>18</v>
      </c>
      <c r="K91" s="1" t="s">
        <v>12</v>
      </c>
      <c r="L91" s="2" t="str">
        <f>LEFT(K91,FIND( ",",K91)-1)</f>
        <v>Senin</v>
      </c>
      <c r="M91" s="2" t="str">
        <f>MID(K91,FIND(",",K91)+2,LEN(K91))</f>
        <v>10:00 - 11:40</v>
      </c>
      <c r="N91" s="1" t="s">
        <v>177</v>
      </c>
    </row>
    <row r="92" spans="2:14" ht="30" hidden="1" customHeight="1" x14ac:dyDescent="0.3">
      <c r="B92" s="2">
        <v>18</v>
      </c>
      <c r="C92" s="2" t="s">
        <v>326</v>
      </c>
      <c r="D92" s="2">
        <v>65</v>
      </c>
      <c r="E92" s="2">
        <v>7</v>
      </c>
      <c r="F92" s="1" t="s">
        <v>330</v>
      </c>
      <c r="G92" s="1" t="s">
        <v>173</v>
      </c>
      <c r="H92" s="2" t="s">
        <v>331</v>
      </c>
      <c r="I92" s="11" t="s">
        <v>333</v>
      </c>
      <c r="J92" s="1" t="s">
        <v>250</v>
      </c>
      <c r="K92" s="1" t="s">
        <v>19</v>
      </c>
      <c r="L92" s="2" t="str">
        <f>LEFT(K92,FIND( ",",K92)-1)</f>
        <v>Senin</v>
      </c>
      <c r="M92" s="2" t="str">
        <f>MID(K92,FIND(",",K92)+2,LEN(K92))</f>
        <v>13:00 - 14:40</v>
      </c>
      <c r="N92" s="1" t="s">
        <v>177</v>
      </c>
    </row>
    <row r="93" spans="2:14" ht="30" hidden="1" customHeight="1" x14ac:dyDescent="0.3">
      <c r="B93" s="2">
        <v>18</v>
      </c>
      <c r="C93" s="2" t="s">
        <v>326</v>
      </c>
      <c r="D93" s="2">
        <v>65</v>
      </c>
      <c r="E93" s="2">
        <v>7</v>
      </c>
      <c r="F93" s="1" t="s">
        <v>330</v>
      </c>
      <c r="G93" s="1" t="s">
        <v>173</v>
      </c>
      <c r="H93" s="2" t="s">
        <v>331</v>
      </c>
      <c r="I93" s="11" t="s">
        <v>333</v>
      </c>
      <c r="J93" s="1" t="s">
        <v>334</v>
      </c>
      <c r="K93" s="1" t="s">
        <v>19</v>
      </c>
      <c r="L93" s="2" t="str">
        <f>LEFT(K93,FIND( ",",K93)-1)</f>
        <v>Senin</v>
      </c>
      <c r="M93" s="2" t="str">
        <f>MID(K93,FIND(",",K93)+2,LEN(K93))</f>
        <v>13:00 - 14:40</v>
      </c>
      <c r="N93" s="1" t="s">
        <v>177</v>
      </c>
    </row>
    <row r="94" spans="2:14" ht="30" hidden="1" customHeight="1" x14ac:dyDescent="0.3">
      <c r="B94" s="5">
        <v>19</v>
      </c>
      <c r="C94" s="5" t="s">
        <v>346</v>
      </c>
      <c r="D94" s="5">
        <v>60</v>
      </c>
      <c r="E94" s="5">
        <v>28</v>
      </c>
      <c r="F94" s="7" t="s">
        <v>302</v>
      </c>
      <c r="G94" s="7" t="s">
        <v>173</v>
      </c>
      <c r="H94" s="5" t="s">
        <v>303</v>
      </c>
      <c r="I94" s="10" t="s">
        <v>304</v>
      </c>
      <c r="J94" s="7" t="s">
        <v>305</v>
      </c>
      <c r="K94" s="7" t="s">
        <v>285</v>
      </c>
      <c r="L94" s="5" t="str">
        <f>LEFT(K94,FIND( ",",K94)-1)</f>
        <v>Jumat</v>
      </c>
      <c r="M94" s="5" t="str">
        <f>MID(K94,FIND(",",K94)+2,LEN(K94))</f>
        <v>08:00 - 08:50</v>
      </c>
      <c r="N94" s="7" t="s">
        <v>177</v>
      </c>
    </row>
    <row r="95" spans="2:14" ht="30" hidden="1" customHeight="1" x14ac:dyDescent="0.3">
      <c r="B95" s="5">
        <v>19</v>
      </c>
      <c r="C95" s="5" t="s">
        <v>346</v>
      </c>
      <c r="D95" s="5">
        <v>60</v>
      </c>
      <c r="E95" s="5">
        <v>44</v>
      </c>
      <c r="F95" s="7" t="s">
        <v>359</v>
      </c>
      <c r="G95" s="7" t="s">
        <v>173</v>
      </c>
      <c r="H95" s="5" t="s">
        <v>360</v>
      </c>
      <c r="I95" s="10" t="s">
        <v>361</v>
      </c>
      <c r="J95" s="7" t="s">
        <v>362</v>
      </c>
      <c r="K95" s="7" t="s">
        <v>62</v>
      </c>
      <c r="L95" s="5" t="str">
        <f>LEFT(K95,FIND( ",",K95)-1)</f>
        <v>Jumat</v>
      </c>
      <c r="M95" s="5" t="str">
        <f>MID(K95,FIND(",",K95)+2,LEN(K95))</f>
        <v>10:00 - 11:40</v>
      </c>
      <c r="N95" s="7" t="s">
        <v>177</v>
      </c>
    </row>
    <row r="96" spans="2:14" ht="30" hidden="1" customHeight="1" x14ac:dyDescent="0.3">
      <c r="B96" s="5">
        <v>19</v>
      </c>
      <c r="C96" s="5" t="s">
        <v>346</v>
      </c>
      <c r="D96" s="5">
        <v>60</v>
      </c>
      <c r="E96" s="5">
        <v>9</v>
      </c>
      <c r="F96" s="7" t="s">
        <v>366</v>
      </c>
      <c r="G96" s="7" t="s">
        <v>173</v>
      </c>
      <c r="H96" s="5" t="s">
        <v>367</v>
      </c>
      <c r="I96" s="10" t="s">
        <v>368</v>
      </c>
      <c r="J96" s="7" t="s">
        <v>369</v>
      </c>
      <c r="K96" s="7" t="s">
        <v>370</v>
      </c>
      <c r="L96" s="5" t="str">
        <f>LEFT(K96,FIND( ",",K96)-1)</f>
        <v>Jumat</v>
      </c>
      <c r="M96" s="5" t="str">
        <f>MID(K96,FIND(",",K96)+2,LEN(K96))</f>
        <v>15:00 - 16:40</v>
      </c>
      <c r="N96" s="7" t="s">
        <v>177</v>
      </c>
    </row>
    <row r="97" spans="2:14" ht="30" hidden="1" customHeight="1" x14ac:dyDescent="0.3">
      <c r="B97" s="2">
        <v>34</v>
      </c>
      <c r="C97" s="2" t="s">
        <v>568</v>
      </c>
      <c r="D97" s="2">
        <v>52</v>
      </c>
      <c r="E97" s="2">
        <v>0</v>
      </c>
      <c r="F97" s="1" t="s">
        <v>569</v>
      </c>
      <c r="G97" s="1" t="s">
        <v>173</v>
      </c>
      <c r="H97" s="2" t="s">
        <v>570</v>
      </c>
      <c r="I97" s="11" t="s">
        <v>570</v>
      </c>
      <c r="J97" s="1" t="s">
        <v>407</v>
      </c>
      <c r="K97" s="1" t="s">
        <v>321</v>
      </c>
      <c r="L97" s="2" t="str">
        <f>LEFT(K97,FIND( ",",K97)-1)</f>
        <v>Kamis</v>
      </c>
      <c r="M97" s="2" t="str">
        <f>MID(K97,FIND(",",K97)+2,LEN(K97))</f>
        <v>09:00 - 09:50</v>
      </c>
      <c r="N97" s="1" t="s">
        <v>177</v>
      </c>
    </row>
    <row r="98" spans="2:14" ht="30" hidden="1" customHeight="1" x14ac:dyDescent="0.3">
      <c r="B98" s="2">
        <v>36</v>
      </c>
      <c r="C98" s="2" t="s">
        <v>584</v>
      </c>
      <c r="D98" s="2">
        <v>80</v>
      </c>
      <c r="E98" s="2">
        <v>44</v>
      </c>
      <c r="F98" s="1" t="s">
        <v>397</v>
      </c>
      <c r="G98" s="1" t="s">
        <v>220</v>
      </c>
      <c r="H98" s="2" t="s">
        <v>398</v>
      </c>
      <c r="I98" s="11" t="s">
        <v>592</v>
      </c>
      <c r="J98" s="1" t="s">
        <v>541</v>
      </c>
      <c r="K98" s="1" t="s">
        <v>321</v>
      </c>
      <c r="L98" s="2" t="str">
        <f>LEFT(K98,FIND( ",",K98)-1)</f>
        <v>Kamis</v>
      </c>
      <c r="M98" s="2" t="str">
        <f>MID(K98,FIND(",",K98)+2,LEN(K98))</f>
        <v>09:00 - 09:50</v>
      </c>
      <c r="N98" s="1" t="s">
        <v>224</v>
      </c>
    </row>
    <row r="99" spans="2:14" ht="30" customHeight="1" x14ac:dyDescent="0.3">
      <c r="B99" s="5">
        <v>19</v>
      </c>
      <c r="C99" s="5" t="s">
        <v>346</v>
      </c>
      <c r="D99" s="5">
        <v>60</v>
      </c>
      <c r="E99" s="5">
        <v>19</v>
      </c>
      <c r="F99" s="7" t="s">
        <v>355</v>
      </c>
      <c r="G99" s="7" t="s">
        <v>220</v>
      </c>
      <c r="H99" s="5" t="s">
        <v>356</v>
      </c>
      <c r="I99" s="10" t="s">
        <v>357</v>
      </c>
      <c r="J99" s="7" t="s">
        <v>358</v>
      </c>
      <c r="K99" s="7" t="s">
        <v>23</v>
      </c>
      <c r="L99" s="5" t="str">
        <f>LEFT(K99,FIND( ",",K99)-1)</f>
        <v>Rabu</v>
      </c>
      <c r="M99" s="5" t="str">
        <f>MID(K99,FIND(",",K99)+2,LEN(K99))</f>
        <v>08:00 - 09:40</v>
      </c>
      <c r="N99" s="7" t="s">
        <v>224</v>
      </c>
    </row>
    <row r="100" spans="2:14" ht="30" customHeight="1" x14ac:dyDescent="0.3">
      <c r="B100" s="5">
        <v>19</v>
      </c>
      <c r="C100" s="5" t="s">
        <v>346</v>
      </c>
      <c r="D100" s="5">
        <v>60</v>
      </c>
      <c r="E100" s="5">
        <v>2</v>
      </c>
      <c r="F100" s="7" t="s">
        <v>349</v>
      </c>
      <c r="G100" s="7" t="s">
        <v>173</v>
      </c>
      <c r="H100" s="5" t="s">
        <v>350</v>
      </c>
      <c r="I100" s="10" t="s">
        <v>350</v>
      </c>
      <c r="J100" s="7" t="s">
        <v>351</v>
      </c>
      <c r="K100" s="7" t="s">
        <v>196</v>
      </c>
      <c r="L100" s="5" t="str">
        <f>LEFT(K100,FIND( ",",K100)-1)</f>
        <v>Rabu</v>
      </c>
      <c r="M100" s="5" t="str">
        <f>MID(K100,FIND(",",K100)+2,LEN(K100))</f>
        <v>14:00 - 15:40</v>
      </c>
      <c r="N100" s="7" t="s">
        <v>177</v>
      </c>
    </row>
    <row r="101" spans="2:14" ht="30" customHeight="1" x14ac:dyDescent="0.3">
      <c r="B101" s="5">
        <v>19</v>
      </c>
      <c r="C101" s="5" t="s">
        <v>346</v>
      </c>
      <c r="D101" s="5">
        <v>60</v>
      </c>
      <c r="E101" s="5">
        <v>44</v>
      </c>
      <c r="F101" s="7" t="s">
        <v>359</v>
      </c>
      <c r="G101" s="7" t="s">
        <v>173</v>
      </c>
      <c r="H101" s="5" t="s">
        <v>360</v>
      </c>
      <c r="I101" s="10" t="s">
        <v>361</v>
      </c>
      <c r="J101" s="7" t="s">
        <v>362</v>
      </c>
      <c r="K101" s="7" t="s">
        <v>320</v>
      </c>
      <c r="L101" s="5" t="str">
        <f>LEFT(K101,FIND( ",",K101)-1)</f>
        <v>Rabu</v>
      </c>
      <c r="M101" s="5" t="str">
        <f>MID(K101,FIND(",",K101)+2,LEN(K101))</f>
        <v>16:00 - 17:40</v>
      </c>
      <c r="N101" s="7" t="s">
        <v>177</v>
      </c>
    </row>
    <row r="102" spans="2:14" ht="30" hidden="1" customHeight="1" x14ac:dyDescent="0.3">
      <c r="B102" s="5">
        <v>19</v>
      </c>
      <c r="C102" s="5" t="s">
        <v>346</v>
      </c>
      <c r="D102" s="5">
        <v>60</v>
      </c>
      <c r="E102" s="5">
        <v>14</v>
      </c>
      <c r="F102" s="7" t="s">
        <v>337</v>
      </c>
      <c r="G102" s="7" t="s">
        <v>173</v>
      </c>
      <c r="H102" s="5" t="s">
        <v>338</v>
      </c>
      <c r="I102" s="10" t="s">
        <v>352</v>
      </c>
      <c r="J102" s="7" t="s">
        <v>340</v>
      </c>
      <c r="K102" s="7" t="s">
        <v>29</v>
      </c>
      <c r="L102" s="5" t="str">
        <f>LEFT(K102,FIND( ",",K102)-1)</f>
        <v>Selasa</v>
      </c>
      <c r="M102" s="5" t="str">
        <f>MID(K102,FIND(",",K102)+2,LEN(K102))</f>
        <v>08:00 - 09:40</v>
      </c>
      <c r="N102" s="7" t="s">
        <v>177</v>
      </c>
    </row>
    <row r="103" spans="2:14" ht="30" hidden="1" customHeight="1" x14ac:dyDescent="0.3">
      <c r="B103" s="5">
        <v>19</v>
      </c>
      <c r="C103" s="5" t="s">
        <v>346</v>
      </c>
      <c r="D103" s="5">
        <v>60</v>
      </c>
      <c r="E103" s="5">
        <v>13</v>
      </c>
      <c r="F103" s="7" t="s">
        <v>337</v>
      </c>
      <c r="G103" s="7" t="s">
        <v>173</v>
      </c>
      <c r="H103" s="5" t="s">
        <v>338</v>
      </c>
      <c r="I103" s="10" t="s">
        <v>353</v>
      </c>
      <c r="J103" s="7" t="s">
        <v>354</v>
      </c>
      <c r="K103" s="7" t="s">
        <v>37</v>
      </c>
      <c r="L103" s="5" t="str">
        <f>LEFT(K103,FIND( ",",K103)-1)</f>
        <v>Selasa</v>
      </c>
      <c r="M103" s="5" t="str">
        <f>MID(K103,FIND(",",K103)+2,LEN(K103))</f>
        <v>10:00 - 11:40</v>
      </c>
      <c r="N103" s="7" t="s">
        <v>177</v>
      </c>
    </row>
    <row r="104" spans="2:14" ht="30" hidden="1" customHeight="1" x14ac:dyDescent="0.3">
      <c r="B104" s="5">
        <v>19</v>
      </c>
      <c r="C104" s="5" t="s">
        <v>346</v>
      </c>
      <c r="D104" s="5">
        <v>60</v>
      </c>
      <c r="E104" s="5">
        <v>55</v>
      </c>
      <c r="F104" s="7" t="s">
        <v>172</v>
      </c>
      <c r="G104" s="7" t="s">
        <v>220</v>
      </c>
      <c r="H104" s="5" t="s">
        <v>174</v>
      </c>
      <c r="I104" s="10" t="s">
        <v>347</v>
      </c>
      <c r="J104" s="7" t="s">
        <v>348</v>
      </c>
      <c r="K104" s="7" t="s">
        <v>5</v>
      </c>
      <c r="L104" s="5" t="str">
        <f>LEFT(K104,FIND( ",",K104)-1)</f>
        <v>Senin</v>
      </c>
      <c r="M104" s="5" t="str">
        <f>MID(K104,FIND(",",K104)+2,LEN(K104))</f>
        <v>08:00 - 09:40</v>
      </c>
      <c r="N104" s="7" t="s">
        <v>224</v>
      </c>
    </row>
    <row r="105" spans="2:14" ht="30" hidden="1" customHeight="1" x14ac:dyDescent="0.3">
      <c r="B105" s="5">
        <v>19</v>
      </c>
      <c r="C105" s="5" t="s">
        <v>346</v>
      </c>
      <c r="D105" s="5">
        <v>60</v>
      </c>
      <c r="E105" s="5">
        <v>2</v>
      </c>
      <c r="F105" s="7" t="s">
        <v>349</v>
      </c>
      <c r="G105" s="7" t="s">
        <v>173</v>
      </c>
      <c r="H105" s="5" t="s">
        <v>350</v>
      </c>
      <c r="I105" s="10" t="s">
        <v>350</v>
      </c>
      <c r="J105" s="7" t="s">
        <v>351</v>
      </c>
      <c r="K105" s="7" t="s">
        <v>19</v>
      </c>
      <c r="L105" s="5" t="str">
        <f>LEFT(K105,FIND( ",",K105)-1)</f>
        <v>Senin</v>
      </c>
      <c r="M105" s="5" t="str">
        <f>MID(K105,FIND(",",K105)+2,LEN(K105))</f>
        <v>13:00 - 14:40</v>
      </c>
      <c r="N105" s="7" t="s">
        <v>177</v>
      </c>
    </row>
    <row r="106" spans="2:14" ht="30" hidden="1" customHeight="1" x14ac:dyDescent="0.3">
      <c r="B106" s="2">
        <v>20</v>
      </c>
      <c r="C106" s="2" t="s">
        <v>371</v>
      </c>
      <c r="D106" s="2">
        <v>65</v>
      </c>
      <c r="E106" s="2">
        <v>16</v>
      </c>
      <c r="F106" s="1" t="s">
        <v>302</v>
      </c>
      <c r="G106" s="1" t="s">
        <v>173</v>
      </c>
      <c r="H106" s="2" t="s">
        <v>303</v>
      </c>
      <c r="I106" s="11" t="s">
        <v>383</v>
      </c>
      <c r="J106" s="1" t="s">
        <v>336</v>
      </c>
      <c r="K106" s="1" t="s">
        <v>285</v>
      </c>
      <c r="L106" s="2" t="str">
        <f>LEFT(K106,FIND( ",",K106)-1)</f>
        <v>Jumat</v>
      </c>
      <c r="M106" s="2" t="str">
        <f>MID(K106,FIND(",",K106)+2,LEN(K106))</f>
        <v>08:00 - 08:50</v>
      </c>
      <c r="N106" s="1" t="s">
        <v>177</v>
      </c>
    </row>
    <row r="107" spans="2:14" ht="30" hidden="1" customHeight="1" x14ac:dyDescent="0.3">
      <c r="B107" s="5">
        <v>37</v>
      </c>
      <c r="C107" s="5" t="s">
        <v>593</v>
      </c>
      <c r="D107" s="5">
        <v>40</v>
      </c>
      <c r="E107" s="5">
        <v>32</v>
      </c>
      <c r="F107" s="7" t="s">
        <v>415</v>
      </c>
      <c r="G107" s="7" t="s">
        <v>576</v>
      </c>
      <c r="H107" s="5" t="s">
        <v>416</v>
      </c>
      <c r="I107" s="10" t="s">
        <v>597</v>
      </c>
      <c r="J107" s="7" t="s">
        <v>243</v>
      </c>
      <c r="K107" s="7" t="s">
        <v>321</v>
      </c>
      <c r="L107" s="5" t="str">
        <f>LEFT(K107,FIND( ",",K107)-1)</f>
        <v>Kamis</v>
      </c>
      <c r="M107" s="5" t="str">
        <f>MID(K107,FIND(",",K107)+2,LEN(K107))</f>
        <v>09:00 - 09:50</v>
      </c>
      <c r="N107" s="7" t="s">
        <v>578</v>
      </c>
    </row>
    <row r="108" spans="2:14" ht="30" hidden="1" customHeight="1" x14ac:dyDescent="0.3">
      <c r="B108" s="2">
        <v>12</v>
      </c>
      <c r="C108" s="2" t="s">
        <v>171</v>
      </c>
      <c r="D108" s="2">
        <v>50</v>
      </c>
      <c r="E108" s="2">
        <v>32</v>
      </c>
      <c r="F108" s="1" t="s">
        <v>191</v>
      </c>
      <c r="G108" s="1" t="s">
        <v>173</v>
      </c>
      <c r="H108" s="2" t="s">
        <v>192</v>
      </c>
      <c r="I108" s="11" t="s">
        <v>193</v>
      </c>
      <c r="J108" s="1" t="s">
        <v>135</v>
      </c>
      <c r="K108" s="1" t="s">
        <v>197</v>
      </c>
      <c r="L108" s="2" t="str">
        <f>LEFT(K108,FIND( ",",K108)-1)</f>
        <v>Kamis</v>
      </c>
      <c r="M108" s="2" t="str">
        <f>MID(K108,FIND(",",K108)+2,LEN(K108))</f>
        <v>10:00 - 10:50</v>
      </c>
      <c r="N108" s="1" t="s">
        <v>177</v>
      </c>
    </row>
    <row r="109" spans="2:14" ht="30" hidden="1" customHeight="1" x14ac:dyDescent="0.3">
      <c r="B109" s="2">
        <v>14</v>
      </c>
      <c r="C109" s="2" t="s">
        <v>236</v>
      </c>
      <c r="D109" s="2">
        <v>70</v>
      </c>
      <c r="E109" s="2">
        <v>52</v>
      </c>
      <c r="F109" s="1" t="s">
        <v>251</v>
      </c>
      <c r="G109" s="1" t="s">
        <v>220</v>
      </c>
      <c r="H109" s="2" t="s">
        <v>252</v>
      </c>
      <c r="I109" s="11" t="s">
        <v>253</v>
      </c>
      <c r="J109" s="1" t="s">
        <v>255</v>
      </c>
      <c r="K109" s="1" t="s">
        <v>197</v>
      </c>
      <c r="L109" s="2" t="str">
        <f>LEFT(K109,FIND( ",",K109)-1)</f>
        <v>Kamis</v>
      </c>
      <c r="M109" s="2" t="str">
        <f>MID(K109,FIND(",",K109)+2,LEN(K109))</f>
        <v>10:00 - 10:50</v>
      </c>
      <c r="N109" s="1" t="s">
        <v>224</v>
      </c>
    </row>
    <row r="110" spans="2:14" ht="30" hidden="1" customHeight="1" x14ac:dyDescent="0.3">
      <c r="B110" s="2">
        <v>14</v>
      </c>
      <c r="C110" s="2" t="s">
        <v>236</v>
      </c>
      <c r="D110" s="2">
        <v>70</v>
      </c>
      <c r="E110" s="2">
        <v>52</v>
      </c>
      <c r="F110" s="1" t="s">
        <v>251</v>
      </c>
      <c r="G110" s="1" t="s">
        <v>220</v>
      </c>
      <c r="H110" s="2" t="s">
        <v>252</v>
      </c>
      <c r="I110" s="11" t="s">
        <v>253</v>
      </c>
      <c r="J110" s="1" t="s">
        <v>254</v>
      </c>
      <c r="K110" s="1" t="s">
        <v>197</v>
      </c>
      <c r="L110" s="2" t="str">
        <f>LEFT(K110,FIND( ",",K110)-1)</f>
        <v>Kamis</v>
      </c>
      <c r="M110" s="2" t="str">
        <f>MID(K110,FIND(",",K110)+2,LEN(K110))</f>
        <v>10:00 - 10:50</v>
      </c>
      <c r="N110" s="1" t="s">
        <v>224</v>
      </c>
    </row>
    <row r="111" spans="2:14" ht="30" customHeight="1" x14ac:dyDescent="0.3">
      <c r="B111" s="2">
        <v>20</v>
      </c>
      <c r="C111" s="2" t="s">
        <v>371</v>
      </c>
      <c r="D111" s="2">
        <v>65</v>
      </c>
      <c r="E111" s="2">
        <v>9</v>
      </c>
      <c r="F111" s="1" t="s">
        <v>372</v>
      </c>
      <c r="G111" s="1" t="s">
        <v>220</v>
      </c>
      <c r="H111" s="2" t="s">
        <v>373</v>
      </c>
      <c r="I111" s="11" t="s">
        <v>374</v>
      </c>
      <c r="J111" s="1" t="s">
        <v>354</v>
      </c>
      <c r="K111" s="1" t="s">
        <v>389</v>
      </c>
      <c r="L111" s="2" t="str">
        <f>LEFT(K111,FIND( ",",K111)-1)</f>
        <v>Rabu</v>
      </c>
      <c r="M111" s="2" t="str">
        <f>MID(K111,FIND(",",K111)+2,LEN(K111))</f>
        <v>08:00 - 08:50</v>
      </c>
      <c r="N111" s="1" t="s">
        <v>224</v>
      </c>
    </row>
    <row r="112" spans="2:14" ht="30" customHeight="1" x14ac:dyDescent="0.3">
      <c r="B112" s="2">
        <v>20</v>
      </c>
      <c r="C112" s="2" t="s">
        <v>371</v>
      </c>
      <c r="D112" s="2">
        <v>65</v>
      </c>
      <c r="E112" s="2">
        <v>14</v>
      </c>
      <c r="F112" s="1" t="s">
        <v>372</v>
      </c>
      <c r="G112" s="1" t="s">
        <v>220</v>
      </c>
      <c r="H112" s="2" t="s">
        <v>373</v>
      </c>
      <c r="I112" s="11" t="s">
        <v>375</v>
      </c>
      <c r="J112" s="1" t="s">
        <v>354</v>
      </c>
      <c r="K112" s="1" t="s">
        <v>217</v>
      </c>
      <c r="L112" s="2" t="str">
        <f>LEFT(K112,FIND( ",",K112)-1)</f>
        <v>Rabu</v>
      </c>
      <c r="M112" s="2" t="str">
        <f>MID(K112,FIND(",",K112)+2,LEN(K112))</f>
        <v>10:00 - 10:50</v>
      </c>
      <c r="N112" s="1" t="s">
        <v>224</v>
      </c>
    </row>
    <row r="113" spans="2:14" ht="30" customHeight="1" x14ac:dyDescent="0.3">
      <c r="B113" s="2">
        <v>20</v>
      </c>
      <c r="C113" s="2" t="s">
        <v>371</v>
      </c>
      <c r="D113" s="2">
        <v>65</v>
      </c>
      <c r="E113" s="2">
        <v>6</v>
      </c>
      <c r="F113" s="1" t="s">
        <v>244</v>
      </c>
      <c r="G113" s="1" t="s">
        <v>220</v>
      </c>
      <c r="H113" s="2" t="s">
        <v>245</v>
      </c>
      <c r="I113" s="11" t="s">
        <v>246</v>
      </c>
      <c r="J113" s="1" t="s">
        <v>247</v>
      </c>
      <c r="K113" s="1" t="s">
        <v>261</v>
      </c>
      <c r="L113" s="2" t="str">
        <f>LEFT(K113,FIND( ",",K113)-1)</f>
        <v>Rabu</v>
      </c>
      <c r="M113" s="2" t="str">
        <f>MID(K113,FIND(",",K113)+2,LEN(K113))</f>
        <v>11:00 - 11:50</v>
      </c>
      <c r="N113" s="1" t="s">
        <v>224</v>
      </c>
    </row>
    <row r="114" spans="2:14" ht="30" customHeight="1" x14ac:dyDescent="0.3">
      <c r="B114" s="2">
        <v>20</v>
      </c>
      <c r="C114" s="2" t="s">
        <v>371</v>
      </c>
      <c r="D114" s="2">
        <v>65</v>
      </c>
      <c r="E114" s="2">
        <v>4</v>
      </c>
      <c r="F114" s="1" t="s">
        <v>330</v>
      </c>
      <c r="G114" s="1" t="s">
        <v>220</v>
      </c>
      <c r="H114" s="2" t="s">
        <v>331</v>
      </c>
      <c r="I114" s="11" t="s">
        <v>376</v>
      </c>
      <c r="J114" s="1" t="s">
        <v>377</v>
      </c>
      <c r="K114" s="1" t="s">
        <v>196</v>
      </c>
      <c r="L114" s="2" t="str">
        <f>LEFT(K114,FIND( ",",K114)-1)</f>
        <v>Rabu</v>
      </c>
      <c r="M114" s="2" t="str">
        <f>MID(K114,FIND(",",K114)+2,LEN(K114))</f>
        <v>14:00 - 15:40</v>
      </c>
      <c r="N114" s="1" t="s">
        <v>224</v>
      </c>
    </row>
    <row r="115" spans="2:14" ht="30" hidden="1" customHeight="1" x14ac:dyDescent="0.3">
      <c r="B115" s="2">
        <v>20</v>
      </c>
      <c r="C115" s="2" t="s">
        <v>371</v>
      </c>
      <c r="D115" s="2">
        <v>65</v>
      </c>
      <c r="E115" s="2">
        <v>8</v>
      </c>
      <c r="F115" s="1" t="s">
        <v>379</v>
      </c>
      <c r="G115" s="1" t="s">
        <v>220</v>
      </c>
      <c r="H115" s="2" t="s">
        <v>380</v>
      </c>
      <c r="I115" s="11" t="s">
        <v>381</v>
      </c>
      <c r="J115" s="1" t="s">
        <v>382</v>
      </c>
      <c r="K115" s="1" t="s">
        <v>29</v>
      </c>
      <c r="L115" s="2" t="str">
        <f>LEFT(K115,FIND( ",",K115)-1)</f>
        <v>Selasa</v>
      </c>
      <c r="M115" s="2" t="str">
        <f>MID(K115,FIND(",",K115)+2,LEN(K115))</f>
        <v>08:00 - 09:40</v>
      </c>
      <c r="N115" s="1" t="s">
        <v>224</v>
      </c>
    </row>
    <row r="116" spans="2:14" ht="30" hidden="1" customHeight="1" x14ac:dyDescent="0.3">
      <c r="B116" s="2">
        <v>20</v>
      </c>
      <c r="C116" s="2" t="s">
        <v>371</v>
      </c>
      <c r="D116" s="2">
        <v>65</v>
      </c>
      <c r="E116" s="2">
        <v>16</v>
      </c>
      <c r="F116" s="1" t="s">
        <v>302</v>
      </c>
      <c r="G116" s="1" t="s">
        <v>173</v>
      </c>
      <c r="H116" s="2" t="s">
        <v>303</v>
      </c>
      <c r="I116" s="11" t="s">
        <v>383</v>
      </c>
      <c r="J116" s="1" t="s">
        <v>336</v>
      </c>
      <c r="K116" s="1" t="s">
        <v>37</v>
      </c>
      <c r="L116" s="2" t="str">
        <f>LEFT(K116,FIND( ",",K116)-1)</f>
        <v>Selasa</v>
      </c>
      <c r="M116" s="2" t="str">
        <f>MID(K116,FIND(",",K116)+2,LEN(K116))</f>
        <v>10:00 - 11:40</v>
      </c>
      <c r="N116" s="1" t="s">
        <v>177</v>
      </c>
    </row>
    <row r="117" spans="2:14" ht="30" hidden="1" customHeight="1" x14ac:dyDescent="0.3">
      <c r="B117" s="2">
        <v>20</v>
      </c>
      <c r="C117" s="2" t="s">
        <v>371</v>
      </c>
      <c r="D117" s="2">
        <v>65</v>
      </c>
      <c r="E117" s="2">
        <v>6</v>
      </c>
      <c r="F117" s="1" t="s">
        <v>384</v>
      </c>
      <c r="G117" s="1" t="s">
        <v>220</v>
      </c>
      <c r="H117" s="2" t="s">
        <v>385</v>
      </c>
      <c r="I117" s="11" t="s">
        <v>386</v>
      </c>
      <c r="J117" s="1" t="s">
        <v>387</v>
      </c>
      <c r="K117" s="1" t="s">
        <v>42</v>
      </c>
      <c r="L117" s="2" t="str">
        <f>LEFT(K117,FIND( ",",K117)-1)</f>
        <v>Selasa</v>
      </c>
      <c r="M117" s="2" t="str">
        <f>MID(K117,FIND(",",K117)+2,LEN(K117))</f>
        <v>13:00 - 14:40</v>
      </c>
      <c r="N117" s="1" t="s">
        <v>224</v>
      </c>
    </row>
    <row r="118" spans="2:14" ht="30" hidden="1" customHeight="1" x14ac:dyDescent="0.3">
      <c r="B118" s="2">
        <v>20</v>
      </c>
      <c r="C118" s="2" t="s">
        <v>371</v>
      </c>
      <c r="D118" s="2">
        <v>65</v>
      </c>
      <c r="E118" s="2">
        <v>33</v>
      </c>
      <c r="F118" s="1" t="s">
        <v>251</v>
      </c>
      <c r="G118" s="1" t="s">
        <v>220</v>
      </c>
      <c r="H118" s="2" t="s">
        <v>252</v>
      </c>
      <c r="I118" s="11" t="s">
        <v>388</v>
      </c>
      <c r="J118" s="1" t="s">
        <v>369</v>
      </c>
      <c r="K118" s="1" t="s">
        <v>257</v>
      </c>
      <c r="L118" s="2" t="str">
        <f>LEFT(K118,FIND( ",",K118)-1)</f>
        <v>Selasa</v>
      </c>
      <c r="M118" s="2" t="str">
        <f>MID(K118,FIND(",",K118)+2,LEN(K118))</f>
        <v>16:00 - 16:50</v>
      </c>
      <c r="N118" s="1" t="s">
        <v>224</v>
      </c>
    </row>
    <row r="119" spans="2:14" ht="30" hidden="1" customHeight="1" x14ac:dyDescent="0.3">
      <c r="B119" s="2">
        <v>20</v>
      </c>
      <c r="C119" s="2" t="s">
        <v>371</v>
      </c>
      <c r="D119" s="2">
        <v>65</v>
      </c>
      <c r="E119" s="2">
        <v>9</v>
      </c>
      <c r="F119" s="1" t="s">
        <v>372</v>
      </c>
      <c r="G119" s="1" t="s">
        <v>220</v>
      </c>
      <c r="H119" s="2" t="s">
        <v>373</v>
      </c>
      <c r="I119" s="11" t="s">
        <v>374</v>
      </c>
      <c r="J119" s="1" t="s">
        <v>354</v>
      </c>
      <c r="K119" s="1" t="s">
        <v>5</v>
      </c>
      <c r="L119" s="2" t="str">
        <f>LEFT(K119,FIND( ",",K119)-1)</f>
        <v>Senin</v>
      </c>
      <c r="M119" s="2" t="str">
        <f>MID(K119,FIND(",",K119)+2,LEN(K119))</f>
        <v>08:00 - 09:40</v>
      </c>
      <c r="N119" s="1" t="s">
        <v>224</v>
      </c>
    </row>
    <row r="120" spans="2:14" ht="30" hidden="1" customHeight="1" x14ac:dyDescent="0.3">
      <c r="B120" s="2">
        <v>20</v>
      </c>
      <c r="C120" s="2" t="s">
        <v>371</v>
      </c>
      <c r="D120" s="2">
        <v>65</v>
      </c>
      <c r="E120" s="2">
        <v>14</v>
      </c>
      <c r="F120" s="1" t="s">
        <v>372</v>
      </c>
      <c r="G120" s="1" t="s">
        <v>220</v>
      </c>
      <c r="H120" s="2" t="s">
        <v>373</v>
      </c>
      <c r="I120" s="11" t="s">
        <v>375</v>
      </c>
      <c r="J120" s="1" t="s">
        <v>354</v>
      </c>
      <c r="K120" s="1" t="s">
        <v>12</v>
      </c>
      <c r="L120" s="2" t="str">
        <f>LEFT(K120,FIND( ",",K120)-1)</f>
        <v>Senin</v>
      </c>
      <c r="M120" s="2" t="str">
        <f>MID(K120,FIND(",",K120)+2,LEN(K120))</f>
        <v>10:00 - 11:40</v>
      </c>
      <c r="N120" s="1" t="s">
        <v>224</v>
      </c>
    </row>
    <row r="121" spans="2:14" ht="30" hidden="1" customHeight="1" x14ac:dyDescent="0.3">
      <c r="B121" s="2">
        <v>20</v>
      </c>
      <c r="C121" s="2" t="s">
        <v>371</v>
      </c>
      <c r="D121" s="2">
        <v>65</v>
      </c>
      <c r="E121" s="2">
        <v>4</v>
      </c>
      <c r="F121" s="1" t="s">
        <v>330</v>
      </c>
      <c r="G121" s="1" t="s">
        <v>220</v>
      </c>
      <c r="H121" s="2" t="s">
        <v>331</v>
      </c>
      <c r="I121" s="11" t="s">
        <v>376</v>
      </c>
      <c r="J121" s="1" t="s">
        <v>377</v>
      </c>
      <c r="K121" s="1" t="s">
        <v>19</v>
      </c>
      <c r="L121" s="2" t="str">
        <f>LEFT(K121,FIND( ",",K121)-1)</f>
        <v>Senin</v>
      </c>
      <c r="M121" s="2" t="str">
        <f>MID(K121,FIND(",",K121)+2,LEN(K121))</f>
        <v>13:00 - 14:40</v>
      </c>
      <c r="N121" s="1" t="s">
        <v>224</v>
      </c>
    </row>
    <row r="122" spans="2:14" ht="30" hidden="1" customHeight="1" x14ac:dyDescent="0.3">
      <c r="B122" s="2">
        <v>20</v>
      </c>
      <c r="C122" s="2" t="s">
        <v>371</v>
      </c>
      <c r="D122" s="2">
        <v>65</v>
      </c>
      <c r="E122" s="2">
        <v>39</v>
      </c>
      <c r="F122" s="1" t="s">
        <v>316</v>
      </c>
      <c r="G122" s="1" t="s">
        <v>173</v>
      </c>
      <c r="H122" s="2" t="s">
        <v>317</v>
      </c>
      <c r="I122" s="11" t="s">
        <v>378</v>
      </c>
      <c r="J122" s="1" t="s">
        <v>201</v>
      </c>
      <c r="K122" s="1" t="s">
        <v>21</v>
      </c>
      <c r="L122" s="2" t="str">
        <f>LEFT(K122,FIND( ",",K122)-1)</f>
        <v>Senin</v>
      </c>
      <c r="M122" s="2" t="str">
        <f>MID(K122,FIND(",",K122)+2,LEN(K122))</f>
        <v>15:00 - 16:40</v>
      </c>
      <c r="N122" s="1" t="s">
        <v>177</v>
      </c>
    </row>
    <row r="123" spans="2:14" ht="30" hidden="1" customHeight="1" x14ac:dyDescent="0.3">
      <c r="B123" s="5">
        <v>19</v>
      </c>
      <c r="C123" s="5" t="s">
        <v>346</v>
      </c>
      <c r="D123" s="5">
        <v>60</v>
      </c>
      <c r="E123" s="5">
        <v>2</v>
      </c>
      <c r="F123" s="7" t="s">
        <v>363</v>
      </c>
      <c r="G123" s="7" t="s">
        <v>220</v>
      </c>
      <c r="H123" s="5" t="s">
        <v>364</v>
      </c>
      <c r="I123" s="10" t="s">
        <v>364</v>
      </c>
      <c r="J123" s="7" t="s">
        <v>365</v>
      </c>
      <c r="K123" s="7" t="s">
        <v>197</v>
      </c>
      <c r="L123" s="5" t="str">
        <f>LEFT(K123,FIND( ",",K123)-1)</f>
        <v>Kamis</v>
      </c>
      <c r="M123" s="5" t="str">
        <f>MID(K123,FIND(",",K123)+2,LEN(K123))</f>
        <v>10:00 - 10:50</v>
      </c>
      <c r="N123" s="7" t="s">
        <v>224</v>
      </c>
    </row>
    <row r="124" spans="2:14" ht="30" hidden="1" customHeight="1" x14ac:dyDescent="0.3">
      <c r="B124" s="2">
        <v>20</v>
      </c>
      <c r="C124" s="2" t="s">
        <v>371</v>
      </c>
      <c r="D124" s="2">
        <v>65</v>
      </c>
      <c r="E124" s="2">
        <v>16</v>
      </c>
      <c r="F124" s="1" t="s">
        <v>302</v>
      </c>
      <c r="G124" s="1" t="s">
        <v>173</v>
      </c>
      <c r="H124" s="2" t="s">
        <v>303</v>
      </c>
      <c r="I124" s="11" t="s">
        <v>383</v>
      </c>
      <c r="J124" s="1" t="s">
        <v>336</v>
      </c>
      <c r="K124" s="1" t="s">
        <v>197</v>
      </c>
      <c r="L124" s="2" t="str">
        <f>LEFT(K124,FIND( ",",K124)-1)</f>
        <v>Kamis</v>
      </c>
      <c r="M124" s="2" t="str">
        <f>MID(K124,FIND(",",K124)+2,LEN(K124))</f>
        <v>10:00 - 10:50</v>
      </c>
      <c r="N124" s="1" t="s">
        <v>177</v>
      </c>
    </row>
    <row r="125" spans="2:14" ht="30" hidden="1" customHeight="1" x14ac:dyDescent="0.3">
      <c r="B125" s="5">
        <v>21</v>
      </c>
      <c r="C125" s="5" t="s">
        <v>390</v>
      </c>
      <c r="D125" s="5">
        <v>75</v>
      </c>
      <c r="E125" s="5">
        <v>49</v>
      </c>
      <c r="F125" s="7" t="s">
        <v>251</v>
      </c>
      <c r="G125" s="7" t="s">
        <v>220</v>
      </c>
      <c r="H125" s="5" t="s">
        <v>252</v>
      </c>
      <c r="I125" s="10" t="s">
        <v>401</v>
      </c>
      <c r="J125" s="7" t="s">
        <v>351</v>
      </c>
      <c r="K125" s="7" t="s">
        <v>197</v>
      </c>
      <c r="L125" s="5" t="str">
        <f>LEFT(K125,FIND( ",",K125)-1)</f>
        <v>Kamis</v>
      </c>
      <c r="M125" s="5" t="str">
        <f>MID(K125,FIND(",",K125)+2,LEN(K125))</f>
        <v>10:00 - 10:50</v>
      </c>
      <c r="N125" s="7" t="s">
        <v>224</v>
      </c>
    </row>
    <row r="126" spans="2:14" ht="30" hidden="1" customHeight="1" x14ac:dyDescent="0.3">
      <c r="B126" s="2">
        <v>22</v>
      </c>
      <c r="C126" s="2" t="s">
        <v>405</v>
      </c>
      <c r="D126" s="2">
        <v>92</v>
      </c>
      <c r="E126" s="2">
        <v>52</v>
      </c>
      <c r="F126" s="1" t="s">
        <v>415</v>
      </c>
      <c r="G126" s="1" t="s">
        <v>220</v>
      </c>
      <c r="H126" s="2" t="s">
        <v>416</v>
      </c>
      <c r="I126" s="11" t="s">
        <v>417</v>
      </c>
      <c r="J126" s="1" t="s">
        <v>418</v>
      </c>
      <c r="K126" s="1" t="s">
        <v>197</v>
      </c>
      <c r="L126" s="2" t="str">
        <f>LEFT(K126,FIND( ",",K126)-1)</f>
        <v>Kamis</v>
      </c>
      <c r="M126" s="2" t="str">
        <f>MID(K126,FIND(",",K126)+2,LEN(K126))</f>
        <v>10:00 - 10:50</v>
      </c>
      <c r="N126" s="1" t="s">
        <v>224</v>
      </c>
    </row>
    <row r="127" spans="2:14" ht="30" hidden="1" customHeight="1" x14ac:dyDescent="0.3">
      <c r="B127" s="5">
        <v>23</v>
      </c>
      <c r="C127" s="5" t="s">
        <v>420</v>
      </c>
      <c r="D127" s="5">
        <v>80</v>
      </c>
      <c r="E127" s="5">
        <v>33</v>
      </c>
      <c r="F127" s="7" t="s">
        <v>251</v>
      </c>
      <c r="G127" s="7" t="s">
        <v>220</v>
      </c>
      <c r="H127" s="5" t="s">
        <v>252</v>
      </c>
      <c r="I127" s="10" t="s">
        <v>388</v>
      </c>
      <c r="J127" s="7" t="s">
        <v>369</v>
      </c>
      <c r="K127" s="7" t="s">
        <v>197</v>
      </c>
      <c r="L127" s="5" t="str">
        <f>LEFT(K127,FIND( ",",K127)-1)</f>
        <v>Kamis</v>
      </c>
      <c r="M127" s="5" t="str">
        <f>MID(K127,FIND(",",K127)+2,LEN(K127))</f>
        <v>10:00 - 10:50</v>
      </c>
      <c r="N127" s="7" t="s">
        <v>224</v>
      </c>
    </row>
    <row r="128" spans="2:14" ht="30" hidden="1" customHeight="1" x14ac:dyDescent="0.3">
      <c r="B128" s="2">
        <v>24</v>
      </c>
      <c r="C128" s="2" t="s">
        <v>436</v>
      </c>
      <c r="D128" s="2">
        <v>100</v>
      </c>
      <c r="E128" s="2">
        <v>45</v>
      </c>
      <c r="F128" s="1" t="s">
        <v>415</v>
      </c>
      <c r="G128" s="1" t="s">
        <v>220</v>
      </c>
      <c r="H128" s="2" t="s">
        <v>416</v>
      </c>
      <c r="I128" s="11" t="s">
        <v>442</v>
      </c>
      <c r="J128" s="1" t="s">
        <v>234</v>
      </c>
      <c r="K128" s="1" t="s">
        <v>197</v>
      </c>
      <c r="L128" s="2" t="str">
        <f>LEFT(K128,FIND( ",",K128)-1)</f>
        <v>Kamis</v>
      </c>
      <c r="M128" s="2" t="str">
        <f>MID(K128,FIND(",",K128)+2,LEN(K128))</f>
        <v>10:00 - 10:50</v>
      </c>
      <c r="N128" s="1" t="s">
        <v>224</v>
      </c>
    </row>
    <row r="129" spans="2:14" ht="30" customHeight="1" x14ac:dyDescent="0.3">
      <c r="B129" s="5">
        <v>21</v>
      </c>
      <c r="C129" s="5" t="s">
        <v>390</v>
      </c>
      <c r="D129" s="5">
        <v>75</v>
      </c>
      <c r="E129" s="5">
        <v>41</v>
      </c>
      <c r="F129" s="7" t="s">
        <v>397</v>
      </c>
      <c r="G129" s="7" t="s">
        <v>220</v>
      </c>
      <c r="H129" s="5" t="s">
        <v>398</v>
      </c>
      <c r="I129" s="10" t="s">
        <v>403</v>
      </c>
      <c r="J129" s="7" t="s">
        <v>400</v>
      </c>
      <c r="K129" s="7" t="s">
        <v>23</v>
      </c>
      <c r="L129" s="5" t="str">
        <f>LEFT(K129,FIND( ",",K129)-1)</f>
        <v>Rabu</v>
      </c>
      <c r="M129" s="5" t="str">
        <f>MID(K129,FIND(",",K129)+2,LEN(K129))</f>
        <v>08:00 - 09:40</v>
      </c>
      <c r="N129" s="7" t="s">
        <v>224</v>
      </c>
    </row>
    <row r="130" spans="2:14" ht="30" customHeight="1" x14ac:dyDescent="0.3">
      <c r="B130" s="5">
        <v>21</v>
      </c>
      <c r="C130" s="5" t="s">
        <v>390</v>
      </c>
      <c r="D130" s="5">
        <v>75</v>
      </c>
      <c r="E130" s="5">
        <v>41</v>
      </c>
      <c r="F130" s="7" t="s">
        <v>393</v>
      </c>
      <c r="G130" s="7" t="s">
        <v>220</v>
      </c>
      <c r="H130" s="5" t="s">
        <v>394</v>
      </c>
      <c r="I130" s="10" t="s">
        <v>395</v>
      </c>
      <c r="J130" s="7" t="s">
        <v>358</v>
      </c>
      <c r="K130" s="7" t="s">
        <v>261</v>
      </c>
      <c r="L130" s="5" t="str">
        <f>LEFT(K130,FIND( ",",K130)-1)</f>
        <v>Rabu</v>
      </c>
      <c r="M130" s="5" t="str">
        <f>MID(K130,FIND(",",K130)+2,LEN(K130))</f>
        <v>11:00 - 11:50</v>
      </c>
      <c r="N130" s="7" t="s">
        <v>224</v>
      </c>
    </row>
    <row r="131" spans="2:14" ht="30" customHeight="1" x14ac:dyDescent="0.3">
      <c r="B131" s="5">
        <v>21</v>
      </c>
      <c r="C131" s="5" t="s">
        <v>390</v>
      </c>
      <c r="D131" s="5">
        <v>75</v>
      </c>
      <c r="E131" s="5">
        <v>41</v>
      </c>
      <c r="F131" s="7" t="s">
        <v>393</v>
      </c>
      <c r="G131" s="7" t="s">
        <v>220</v>
      </c>
      <c r="H131" s="5" t="s">
        <v>394</v>
      </c>
      <c r="I131" s="10" t="s">
        <v>395</v>
      </c>
      <c r="J131" s="7" t="s">
        <v>56</v>
      </c>
      <c r="K131" s="7" t="s">
        <v>261</v>
      </c>
      <c r="L131" s="5" t="str">
        <f>LEFT(K131,FIND( ",",K131)-1)</f>
        <v>Rabu</v>
      </c>
      <c r="M131" s="5" t="str">
        <f>MID(K131,FIND(",",K131)+2,LEN(K131))</f>
        <v>11:00 - 11:50</v>
      </c>
      <c r="N131" s="7" t="s">
        <v>224</v>
      </c>
    </row>
    <row r="132" spans="2:14" ht="30" customHeight="1" x14ac:dyDescent="0.3">
      <c r="B132" s="5">
        <v>21</v>
      </c>
      <c r="C132" s="5" t="s">
        <v>390</v>
      </c>
      <c r="D132" s="5">
        <v>75</v>
      </c>
      <c r="E132" s="5">
        <v>46</v>
      </c>
      <c r="F132" s="7" t="s">
        <v>393</v>
      </c>
      <c r="G132" s="7" t="s">
        <v>220</v>
      </c>
      <c r="H132" s="5" t="s">
        <v>394</v>
      </c>
      <c r="I132" s="10" t="s">
        <v>396</v>
      </c>
      <c r="J132" s="7" t="s">
        <v>358</v>
      </c>
      <c r="K132" s="7" t="s">
        <v>218</v>
      </c>
      <c r="L132" s="5" t="str">
        <f>LEFT(K132,FIND( ",",K132)-1)</f>
        <v>Rabu</v>
      </c>
      <c r="M132" s="5" t="str">
        <f>MID(K132,FIND(",",K132)+2,LEN(K132))</f>
        <v>14:00 - 14:50</v>
      </c>
      <c r="N132" s="7" t="s">
        <v>224</v>
      </c>
    </row>
    <row r="133" spans="2:14" ht="30" customHeight="1" x14ac:dyDescent="0.3">
      <c r="B133" s="5">
        <v>21</v>
      </c>
      <c r="C133" s="5" t="s">
        <v>390</v>
      </c>
      <c r="D133" s="5">
        <v>75</v>
      </c>
      <c r="E133" s="5">
        <v>46</v>
      </c>
      <c r="F133" s="7" t="s">
        <v>393</v>
      </c>
      <c r="G133" s="7" t="s">
        <v>220</v>
      </c>
      <c r="H133" s="5" t="s">
        <v>394</v>
      </c>
      <c r="I133" s="10" t="s">
        <v>396</v>
      </c>
      <c r="J133" s="7" t="s">
        <v>267</v>
      </c>
      <c r="K133" s="7" t="s">
        <v>218</v>
      </c>
      <c r="L133" s="5" t="str">
        <f>LEFT(K133,FIND( ",",K133)-1)</f>
        <v>Rabu</v>
      </c>
      <c r="M133" s="5" t="str">
        <f>MID(K133,FIND(",",K133)+2,LEN(K133))</f>
        <v>14:00 - 14:50</v>
      </c>
      <c r="N133" s="7" t="s">
        <v>224</v>
      </c>
    </row>
    <row r="134" spans="2:14" ht="30" hidden="1" customHeight="1" x14ac:dyDescent="0.3">
      <c r="B134" s="5">
        <v>21</v>
      </c>
      <c r="C134" s="5" t="s">
        <v>390</v>
      </c>
      <c r="D134" s="5">
        <v>75</v>
      </c>
      <c r="E134" s="5">
        <v>44</v>
      </c>
      <c r="F134" s="7" t="s">
        <v>397</v>
      </c>
      <c r="G134" s="7" t="s">
        <v>220</v>
      </c>
      <c r="H134" s="5" t="s">
        <v>398</v>
      </c>
      <c r="I134" s="10" t="s">
        <v>399</v>
      </c>
      <c r="J134" s="7" t="s">
        <v>365</v>
      </c>
      <c r="K134" s="7" t="s">
        <v>29</v>
      </c>
      <c r="L134" s="5" t="str">
        <f>LEFT(K134,FIND( ",",K134)-1)</f>
        <v>Selasa</v>
      </c>
      <c r="M134" s="5" t="str">
        <f>MID(K134,FIND(",",K134)+2,LEN(K134))</f>
        <v>08:00 - 09:40</v>
      </c>
      <c r="N134" s="7" t="s">
        <v>224</v>
      </c>
    </row>
    <row r="135" spans="2:14" ht="30" hidden="1" customHeight="1" x14ac:dyDescent="0.3">
      <c r="B135" s="5">
        <v>21</v>
      </c>
      <c r="C135" s="5" t="s">
        <v>390</v>
      </c>
      <c r="D135" s="5">
        <v>75</v>
      </c>
      <c r="E135" s="5">
        <v>44</v>
      </c>
      <c r="F135" s="7" t="s">
        <v>397</v>
      </c>
      <c r="G135" s="7" t="s">
        <v>220</v>
      </c>
      <c r="H135" s="5" t="s">
        <v>398</v>
      </c>
      <c r="I135" s="10" t="s">
        <v>399</v>
      </c>
      <c r="J135" s="7" t="s">
        <v>400</v>
      </c>
      <c r="K135" s="7" t="s">
        <v>29</v>
      </c>
      <c r="L135" s="5" t="str">
        <f>LEFT(K135,FIND( ",",K135)-1)</f>
        <v>Selasa</v>
      </c>
      <c r="M135" s="5" t="str">
        <f>MID(K135,FIND(",",K135)+2,LEN(K135))</f>
        <v>08:00 - 09:40</v>
      </c>
      <c r="N135" s="7" t="s">
        <v>224</v>
      </c>
    </row>
    <row r="136" spans="2:14" ht="30" hidden="1" customHeight="1" x14ac:dyDescent="0.3">
      <c r="B136" s="5">
        <v>21</v>
      </c>
      <c r="C136" s="5" t="s">
        <v>390</v>
      </c>
      <c r="D136" s="5">
        <v>75</v>
      </c>
      <c r="E136" s="5">
        <v>49</v>
      </c>
      <c r="F136" s="7" t="s">
        <v>251</v>
      </c>
      <c r="G136" s="7" t="s">
        <v>220</v>
      </c>
      <c r="H136" s="5" t="s">
        <v>252</v>
      </c>
      <c r="I136" s="10" t="s">
        <v>401</v>
      </c>
      <c r="J136" s="7" t="s">
        <v>351</v>
      </c>
      <c r="K136" s="7" t="s">
        <v>37</v>
      </c>
      <c r="L136" s="5" t="str">
        <f>LEFT(K136,FIND( ",",K136)-1)</f>
        <v>Selasa</v>
      </c>
      <c r="M136" s="5" t="str">
        <f>MID(K136,FIND(",",K136)+2,LEN(K136))</f>
        <v>10:00 - 11:40</v>
      </c>
      <c r="N136" s="7" t="s">
        <v>224</v>
      </c>
    </row>
    <row r="137" spans="2:14" ht="30" hidden="1" customHeight="1" x14ac:dyDescent="0.3">
      <c r="B137" s="5">
        <v>21</v>
      </c>
      <c r="C137" s="5" t="s">
        <v>390</v>
      </c>
      <c r="D137" s="5">
        <v>75</v>
      </c>
      <c r="E137" s="5">
        <v>47</v>
      </c>
      <c r="F137" s="7" t="s">
        <v>251</v>
      </c>
      <c r="G137" s="7" t="s">
        <v>220</v>
      </c>
      <c r="H137" s="5" t="s">
        <v>252</v>
      </c>
      <c r="I137" s="10" t="s">
        <v>402</v>
      </c>
      <c r="J137" s="7" t="s">
        <v>351</v>
      </c>
      <c r="K137" s="7" t="s">
        <v>42</v>
      </c>
      <c r="L137" s="5" t="str">
        <f>LEFT(K137,FIND( ",",K137)-1)</f>
        <v>Selasa</v>
      </c>
      <c r="M137" s="5" t="str">
        <f>MID(K137,FIND(",",K137)+2,LEN(K137))</f>
        <v>13:00 - 14:40</v>
      </c>
      <c r="N137" s="7" t="s">
        <v>224</v>
      </c>
    </row>
    <row r="138" spans="2:14" ht="30" hidden="1" customHeight="1" x14ac:dyDescent="0.3">
      <c r="B138" s="5">
        <v>21</v>
      </c>
      <c r="C138" s="5" t="s">
        <v>390</v>
      </c>
      <c r="D138" s="5">
        <v>75</v>
      </c>
      <c r="E138" s="5">
        <v>47</v>
      </c>
      <c r="F138" s="7" t="s">
        <v>251</v>
      </c>
      <c r="G138" s="7" t="s">
        <v>220</v>
      </c>
      <c r="H138" s="5" t="s">
        <v>252</v>
      </c>
      <c r="I138" s="10" t="s">
        <v>402</v>
      </c>
      <c r="J138" s="7" t="s">
        <v>351</v>
      </c>
      <c r="K138" s="7" t="s">
        <v>257</v>
      </c>
      <c r="L138" s="5" t="str">
        <f>LEFT(K138,FIND( ",",K138)-1)</f>
        <v>Selasa</v>
      </c>
      <c r="M138" s="5" t="str">
        <f>MID(K138,FIND(",",K138)+2,LEN(K138))</f>
        <v>16:00 - 16:50</v>
      </c>
      <c r="N138" s="7" t="s">
        <v>224</v>
      </c>
    </row>
    <row r="139" spans="2:14" ht="30" hidden="1" customHeight="1" x14ac:dyDescent="0.3">
      <c r="B139" s="5">
        <v>21</v>
      </c>
      <c r="C139" s="5" t="s">
        <v>390</v>
      </c>
      <c r="D139" s="5">
        <v>75</v>
      </c>
      <c r="E139" s="5">
        <v>8</v>
      </c>
      <c r="F139" s="7" t="s">
        <v>172</v>
      </c>
      <c r="G139" s="7" t="s">
        <v>220</v>
      </c>
      <c r="H139" s="5" t="s">
        <v>174</v>
      </c>
      <c r="I139" s="10" t="s">
        <v>391</v>
      </c>
      <c r="J139" s="7" t="s">
        <v>392</v>
      </c>
      <c r="K139" s="7" t="s">
        <v>5</v>
      </c>
      <c r="L139" s="5" t="str">
        <f>LEFT(K139,FIND( ",",K139)-1)</f>
        <v>Senin</v>
      </c>
      <c r="M139" s="5" t="str">
        <f>MID(K139,FIND(",",K139)+2,LEN(K139))</f>
        <v>08:00 - 09:40</v>
      </c>
      <c r="N139" s="7" t="s">
        <v>224</v>
      </c>
    </row>
    <row r="140" spans="2:14" ht="30" hidden="1" customHeight="1" x14ac:dyDescent="0.3">
      <c r="B140" s="5">
        <v>21</v>
      </c>
      <c r="C140" s="5" t="s">
        <v>390</v>
      </c>
      <c r="D140" s="5">
        <v>75</v>
      </c>
      <c r="E140" s="5">
        <v>41</v>
      </c>
      <c r="F140" s="7" t="s">
        <v>393</v>
      </c>
      <c r="G140" s="7" t="s">
        <v>220</v>
      </c>
      <c r="H140" s="5" t="s">
        <v>394</v>
      </c>
      <c r="I140" s="10" t="s">
        <v>395</v>
      </c>
      <c r="J140" s="7" t="s">
        <v>56</v>
      </c>
      <c r="K140" s="7" t="s">
        <v>12</v>
      </c>
      <c r="L140" s="5" t="str">
        <f>LEFT(K140,FIND( ",",K140)-1)</f>
        <v>Senin</v>
      </c>
      <c r="M140" s="5" t="str">
        <f>MID(K140,FIND(",",K140)+2,LEN(K140))</f>
        <v>10:00 - 11:40</v>
      </c>
      <c r="N140" s="7" t="s">
        <v>224</v>
      </c>
    </row>
    <row r="141" spans="2:14" ht="30" hidden="1" customHeight="1" x14ac:dyDescent="0.3">
      <c r="B141" s="5">
        <v>21</v>
      </c>
      <c r="C141" s="5" t="s">
        <v>390</v>
      </c>
      <c r="D141" s="5">
        <v>75</v>
      </c>
      <c r="E141" s="5">
        <v>41</v>
      </c>
      <c r="F141" s="7" t="s">
        <v>393</v>
      </c>
      <c r="G141" s="7" t="s">
        <v>220</v>
      </c>
      <c r="H141" s="5" t="s">
        <v>394</v>
      </c>
      <c r="I141" s="10" t="s">
        <v>395</v>
      </c>
      <c r="J141" s="7" t="s">
        <v>358</v>
      </c>
      <c r="K141" s="7" t="s">
        <v>12</v>
      </c>
      <c r="L141" s="5" t="str">
        <f>LEFT(K141,FIND( ",",K141)-1)</f>
        <v>Senin</v>
      </c>
      <c r="M141" s="5" t="str">
        <f>MID(K141,FIND(",",K141)+2,LEN(K141))</f>
        <v>10:00 - 11:40</v>
      </c>
      <c r="N141" s="7" t="s">
        <v>224</v>
      </c>
    </row>
    <row r="142" spans="2:14" ht="30" hidden="1" customHeight="1" x14ac:dyDescent="0.3">
      <c r="B142" s="5">
        <v>21</v>
      </c>
      <c r="C142" s="5" t="s">
        <v>390</v>
      </c>
      <c r="D142" s="5">
        <v>75</v>
      </c>
      <c r="E142" s="5">
        <v>46</v>
      </c>
      <c r="F142" s="7" t="s">
        <v>393</v>
      </c>
      <c r="G142" s="7" t="s">
        <v>220</v>
      </c>
      <c r="H142" s="5" t="s">
        <v>394</v>
      </c>
      <c r="I142" s="10" t="s">
        <v>396</v>
      </c>
      <c r="J142" s="7" t="s">
        <v>358</v>
      </c>
      <c r="K142" s="7" t="s">
        <v>19</v>
      </c>
      <c r="L142" s="5" t="str">
        <f>LEFT(K142,FIND( ",",K142)-1)</f>
        <v>Senin</v>
      </c>
      <c r="M142" s="5" t="str">
        <f>MID(K142,FIND(",",K142)+2,LEN(K142))</f>
        <v>13:00 - 14:40</v>
      </c>
      <c r="N142" s="7" t="s">
        <v>224</v>
      </c>
    </row>
    <row r="143" spans="2:14" ht="30" hidden="1" customHeight="1" x14ac:dyDescent="0.3">
      <c r="B143" s="5">
        <v>21</v>
      </c>
      <c r="C143" s="5" t="s">
        <v>390</v>
      </c>
      <c r="D143" s="5">
        <v>75</v>
      </c>
      <c r="E143" s="5">
        <v>46</v>
      </c>
      <c r="F143" s="7" t="s">
        <v>393</v>
      </c>
      <c r="G143" s="7" t="s">
        <v>220</v>
      </c>
      <c r="H143" s="5" t="s">
        <v>394</v>
      </c>
      <c r="I143" s="10" t="s">
        <v>396</v>
      </c>
      <c r="J143" s="7" t="s">
        <v>267</v>
      </c>
      <c r="K143" s="7" t="s">
        <v>19</v>
      </c>
      <c r="L143" s="5" t="str">
        <f>LEFT(K143,FIND( ",",K143)-1)</f>
        <v>Senin</v>
      </c>
      <c r="M143" s="5" t="str">
        <f>MID(K143,FIND(",",K143)+2,LEN(K143))</f>
        <v>13:00 - 14:40</v>
      </c>
      <c r="N143" s="7" t="s">
        <v>224</v>
      </c>
    </row>
    <row r="144" spans="2:14" ht="30" hidden="1" customHeight="1" x14ac:dyDescent="0.3">
      <c r="B144" s="2">
        <v>22</v>
      </c>
      <c r="C144" s="2" t="s">
        <v>405</v>
      </c>
      <c r="D144" s="2">
        <v>92</v>
      </c>
      <c r="E144" s="2">
        <v>52</v>
      </c>
      <c r="F144" s="1" t="s">
        <v>415</v>
      </c>
      <c r="G144" s="1" t="s">
        <v>220</v>
      </c>
      <c r="H144" s="2" t="s">
        <v>416</v>
      </c>
      <c r="I144" s="11" t="s">
        <v>417</v>
      </c>
      <c r="J144" s="1" t="s">
        <v>418</v>
      </c>
      <c r="K144" s="1" t="s">
        <v>285</v>
      </c>
      <c r="L144" s="2" t="str">
        <f>LEFT(K144,FIND( ",",K144)-1)</f>
        <v>Jumat</v>
      </c>
      <c r="M144" s="2" t="str">
        <f>MID(K144,FIND(",",K144)+2,LEN(K144))</f>
        <v>08:00 - 08:50</v>
      </c>
      <c r="N144" s="1" t="s">
        <v>224</v>
      </c>
    </row>
    <row r="145" spans="2:14" ht="30" hidden="1" customHeight="1" x14ac:dyDescent="0.3">
      <c r="B145" s="5">
        <v>25</v>
      </c>
      <c r="C145" s="5" t="s">
        <v>449</v>
      </c>
      <c r="D145" s="5">
        <v>80</v>
      </c>
      <c r="E145" s="5">
        <v>50</v>
      </c>
      <c r="F145" s="7" t="s">
        <v>415</v>
      </c>
      <c r="G145" s="7" t="s">
        <v>220</v>
      </c>
      <c r="H145" s="5" t="s">
        <v>416</v>
      </c>
      <c r="I145" s="10" t="s">
        <v>457</v>
      </c>
      <c r="J145" s="7" t="s">
        <v>334</v>
      </c>
      <c r="K145" s="7" t="s">
        <v>197</v>
      </c>
      <c r="L145" s="5" t="str">
        <f>LEFT(K145,FIND( ",",K145)-1)</f>
        <v>Kamis</v>
      </c>
      <c r="M145" s="5" t="str">
        <f>MID(K145,FIND(",",K145)+2,LEN(K145))</f>
        <v>10:00 - 10:50</v>
      </c>
      <c r="N145" s="7" t="s">
        <v>224</v>
      </c>
    </row>
    <row r="146" spans="2:14" ht="30" hidden="1" customHeight="1" x14ac:dyDescent="0.3">
      <c r="B146" s="2">
        <v>26</v>
      </c>
      <c r="C146" s="2" t="s">
        <v>460</v>
      </c>
      <c r="D146" s="2">
        <v>100</v>
      </c>
      <c r="E146" s="2">
        <v>46</v>
      </c>
      <c r="F146" s="1" t="s">
        <v>415</v>
      </c>
      <c r="G146" s="1" t="s">
        <v>220</v>
      </c>
      <c r="H146" s="2" t="s">
        <v>416</v>
      </c>
      <c r="I146" s="11" t="s">
        <v>464</v>
      </c>
      <c r="J146" s="1" t="s">
        <v>465</v>
      </c>
      <c r="K146" s="1" t="s">
        <v>197</v>
      </c>
      <c r="L146" s="2" t="str">
        <f>LEFT(K146,FIND( ",",K146)-1)</f>
        <v>Kamis</v>
      </c>
      <c r="M146" s="2" t="str">
        <f>MID(K146,FIND(",",K146)+2,LEN(K146))</f>
        <v>10:00 - 10:50</v>
      </c>
      <c r="N146" s="1" t="s">
        <v>224</v>
      </c>
    </row>
    <row r="147" spans="2:14" ht="30" hidden="1" customHeight="1" x14ac:dyDescent="0.3">
      <c r="B147" s="2">
        <v>34</v>
      </c>
      <c r="C147" s="2" t="s">
        <v>568</v>
      </c>
      <c r="D147" s="2">
        <v>52</v>
      </c>
      <c r="E147" s="2">
        <v>6</v>
      </c>
      <c r="F147" s="1" t="s">
        <v>219</v>
      </c>
      <c r="G147" s="1" t="s">
        <v>220</v>
      </c>
      <c r="H147" s="2" t="s">
        <v>221</v>
      </c>
      <c r="I147" s="11" t="s">
        <v>222</v>
      </c>
      <c r="J147" s="1" t="s">
        <v>101</v>
      </c>
      <c r="K147" s="1" t="s">
        <v>197</v>
      </c>
      <c r="L147" s="2" t="str">
        <f>LEFT(K147,FIND( ",",K147)-1)</f>
        <v>Kamis</v>
      </c>
      <c r="M147" s="2" t="str">
        <f>MID(K147,FIND(",",K147)+2,LEN(K147))</f>
        <v>10:00 - 10:50</v>
      </c>
      <c r="N147" s="1" t="s">
        <v>224</v>
      </c>
    </row>
    <row r="148" spans="2:14" ht="30" customHeight="1" x14ac:dyDescent="0.3">
      <c r="B148" s="2">
        <v>22</v>
      </c>
      <c r="C148" s="2" t="s">
        <v>405</v>
      </c>
      <c r="D148" s="2">
        <v>92</v>
      </c>
      <c r="E148" s="2">
        <v>24</v>
      </c>
      <c r="F148" s="1" t="s">
        <v>372</v>
      </c>
      <c r="G148" s="1" t="s">
        <v>220</v>
      </c>
      <c r="H148" s="2" t="s">
        <v>373</v>
      </c>
      <c r="I148" s="11" t="s">
        <v>406</v>
      </c>
      <c r="J148" s="1" t="s">
        <v>407</v>
      </c>
      <c r="K148" s="1" t="s">
        <v>389</v>
      </c>
      <c r="L148" s="2" t="str">
        <f>LEFT(K148,FIND( ",",K148)-1)</f>
        <v>Rabu</v>
      </c>
      <c r="M148" s="2" t="str">
        <f>MID(K148,FIND(",",K148)+2,LEN(K148))</f>
        <v>08:00 - 08:50</v>
      </c>
      <c r="N148" s="1" t="s">
        <v>224</v>
      </c>
    </row>
    <row r="149" spans="2:14" ht="30" customHeight="1" x14ac:dyDescent="0.3">
      <c r="B149" s="2">
        <v>22</v>
      </c>
      <c r="C149" s="2" t="s">
        <v>405</v>
      </c>
      <c r="D149" s="2">
        <v>92</v>
      </c>
      <c r="E149" s="2">
        <v>25</v>
      </c>
      <c r="F149" s="1" t="s">
        <v>372</v>
      </c>
      <c r="G149" s="1" t="s">
        <v>220</v>
      </c>
      <c r="H149" s="2" t="s">
        <v>373</v>
      </c>
      <c r="I149" s="11" t="s">
        <v>408</v>
      </c>
      <c r="J149" s="1" t="s">
        <v>407</v>
      </c>
      <c r="K149" s="1" t="s">
        <v>217</v>
      </c>
      <c r="L149" s="2" t="str">
        <f>LEFT(K149,FIND( ",",K149)-1)</f>
        <v>Rabu</v>
      </c>
      <c r="M149" s="2" t="str">
        <f>MID(K149,FIND(",",K149)+2,LEN(K149))</f>
        <v>10:00 - 10:50</v>
      </c>
      <c r="N149" s="1" t="s">
        <v>224</v>
      </c>
    </row>
    <row r="150" spans="2:14" ht="30" customHeight="1" x14ac:dyDescent="0.3">
      <c r="B150" s="2">
        <v>22</v>
      </c>
      <c r="C150" s="2" t="s">
        <v>405</v>
      </c>
      <c r="D150" s="2">
        <v>92</v>
      </c>
      <c r="E150" s="2">
        <v>59</v>
      </c>
      <c r="F150" s="1" t="s">
        <v>240</v>
      </c>
      <c r="G150" s="1" t="s">
        <v>227</v>
      </c>
      <c r="H150" s="2" t="s">
        <v>241</v>
      </c>
      <c r="I150" s="11" t="s">
        <v>242</v>
      </c>
      <c r="J150" s="1" t="s">
        <v>243</v>
      </c>
      <c r="K150" s="1" t="s">
        <v>261</v>
      </c>
      <c r="L150" s="2" t="str">
        <f>LEFT(K150,FIND( ",",K150)-1)</f>
        <v>Rabu</v>
      </c>
      <c r="M150" s="2" t="str">
        <f>MID(K150,FIND(",",K150)+2,LEN(K150))</f>
        <v>11:00 - 11:50</v>
      </c>
      <c r="N150" s="1" t="s">
        <v>230</v>
      </c>
    </row>
    <row r="151" spans="2:14" ht="30" customHeight="1" x14ac:dyDescent="0.3">
      <c r="B151" s="2">
        <v>22</v>
      </c>
      <c r="C151" s="2" t="s">
        <v>405</v>
      </c>
      <c r="D151" s="2">
        <v>92</v>
      </c>
      <c r="E151" s="2">
        <v>60</v>
      </c>
      <c r="F151" s="1" t="s">
        <v>409</v>
      </c>
      <c r="G151" s="1" t="s">
        <v>173</v>
      </c>
      <c r="H151" s="2" t="s">
        <v>410</v>
      </c>
      <c r="I151" s="11" t="s">
        <v>411</v>
      </c>
      <c r="J151" s="1" t="s">
        <v>315</v>
      </c>
      <c r="K151" s="1" t="s">
        <v>196</v>
      </c>
      <c r="L151" s="2" t="str">
        <f>LEFT(K151,FIND( ",",K151)-1)</f>
        <v>Rabu</v>
      </c>
      <c r="M151" s="2" t="str">
        <f>MID(K151,FIND(",",K151)+2,LEN(K151))</f>
        <v>14:00 - 15:40</v>
      </c>
      <c r="N151" s="1" t="s">
        <v>177</v>
      </c>
    </row>
    <row r="152" spans="2:14" ht="30" hidden="1" customHeight="1" x14ac:dyDescent="0.3">
      <c r="B152" s="2">
        <v>22</v>
      </c>
      <c r="C152" s="2" t="s">
        <v>405</v>
      </c>
      <c r="D152" s="2">
        <v>92</v>
      </c>
      <c r="E152" s="2">
        <v>6</v>
      </c>
      <c r="F152" s="1" t="s">
        <v>412</v>
      </c>
      <c r="G152" s="1" t="s">
        <v>173</v>
      </c>
      <c r="H152" s="2" t="s">
        <v>413</v>
      </c>
      <c r="I152" s="11" t="s">
        <v>414</v>
      </c>
      <c r="J152" s="1" t="s">
        <v>296</v>
      </c>
      <c r="K152" s="1" t="s">
        <v>29</v>
      </c>
      <c r="L152" s="2" t="str">
        <f>LEFT(K152,FIND( ",",K152)-1)</f>
        <v>Selasa</v>
      </c>
      <c r="M152" s="2" t="str">
        <f>MID(K152,FIND(",",K152)+2,LEN(K152))</f>
        <v>08:00 - 09:40</v>
      </c>
      <c r="N152" s="1" t="s">
        <v>177</v>
      </c>
    </row>
    <row r="153" spans="2:14" ht="30" hidden="1" customHeight="1" x14ac:dyDescent="0.3">
      <c r="B153" s="2">
        <v>22</v>
      </c>
      <c r="C153" s="2" t="s">
        <v>405</v>
      </c>
      <c r="D153" s="2">
        <v>92</v>
      </c>
      <c r="E153" s="2">
        <v>52</v>
      </c>
      <c r="F153" s="1" t="s">
        <v>415</v>
      </c>
      <c r="G153" s="1" t="s">
        <v>220</v>
      </c>
      <c r="H153" s="2" t="s">
        <v>416</v>
      </c>
      <c r="I153" s="11" t="s">
        <v>417</v>
      </c>
      <c r="J153" s="1" t="s">
        <v>418</v>
      </c>
      <c r="K153" s="1" t="s">
        <v>37</v>
      </c>
      <c r="L153" s="2" t="str">
        <f>LEFT(K153,FIND( ",",K153)-1)</f>
        <v>Selasa</v>
      </c>
      <c r="M153" s="2" t="str">
        <f>MID(K153,FIND(",",K153)+2,LEN(K153))</f>
        <v>10:00 - 11:40</v>
      </c>
      <c r="N153" s="1" t="s">
        <v>224</v>
      </c>
    </row>
    <row r="154" spans="2:14" ht="30" hidden="1" customHeight="1" x14ac:dyDescent="0.3">
      <c r="B154" s="2">
        <v>22</v>
      </c>
      <c r="C154" s="2" t="s">
        <v>405</v>
      </c>
      <c r="D154" s="2">
        <v>92</v>
      </c>
      <c r="E154" s="2">
        <v>43</v>
      </c>
      <c r="F154" s="1" t="s">
        <v>415</v>
      </c>
      <c r="G154" s="1" t="s">
        <v>220</v>
      </c>
      <c r="H154" s="2" t="s">
        <v>416</v>
      </c>
      <c r="I154" s="11" t="s">
        <v>419</v>
      </c>
      <c r="J154" s="1" t="s">
        <v>418</v>
      </c>
      <c r="K154" s="1" t="s">
        <v>42</v>
      </c>
      <c r="L154" s="2" t="str">
        <f>LEFT(K154,FIND( ",",K154)-1)</f>
        <v>Selasa</v>
      </c>
      <c r="M154" s="2" t="str">
        <f>MID(K154,FIND(",",K154)+2,LEN(K154))</f>
        <v>13:00 - 14:40</v>
      </c>
      <c r="N154" s="1" t="s">
        <v>224</v>
      </c>
    </row>
    <row r="155" spans="2:14" ht="30" hidden="1" customHeight="1" x14ac:dyDescent="0.3">
      <c r="B155" s="2">
        <v>22</v>
      </c>
      <c r="C155" s="2" t="s">
        <v>405</v>
      </c>
      <c r="D155" s="2">
        <v>92</v>
      </c>
      <c r="E155" s="2">
        <v>49</v>
      </c>
      <c r="F155" s="1" t="s">
        <v>251</v>
      </c>
      <c r="G155" s="1" t="s">
        <v>220</v>
      </c>
      <c r="H155" s="2" t="s">
        <v>252</v>
      </c>
      <c r="I155" s="11" t="s">
        <v>401</v>
      </c>
      <c r="J155" s="1" t="s">
        <v>351</v>
      </c>
      <c r="K155" s="1" t="s">
        <v>257</v>
      </c>
      <c r="L155" s="2" t="str">
        <f>LEFT(K155,FIND( ",",K155)-1)</f>
        <v>Selasa</v>
      </c>
      <c r="M155" s="2" t="str">
        <f>MID(K155,FIND(",",K155)+2,LEN(K155))</f>
        <v>16:00 - 16:50</v>
      </c>
      <c r="N155" s="1" t="s">
        <v>224</v>
      </c>
    </row>
    <row r="156" spans="2:14" ht="30" hidden="1" customHeight="1" x14ac:dyDescent="0.3">
      <c r="B156" s="2">
        <v>22</v>
      </c>
      <c r="C156" s="2" t="s">
        <v>405</v>
      </c>
      <c r="D156" s="2">
        <v>92</v>
      </c>
      <c r="E156" s="2">
        <v>24</v>
      </c>
      <c r="F156" s="1" t="s">
        <v>372</v>
      </c>
      <c r="G156" s="1" t="s">
        <v>220</v>
      </c>
      <c r="H156" s="2" t="s">
        <v>373</v>
      </c>
      <c r="I156" s="11" t="s">
        <v>406</v>
      </c>
      <c r="J156" s="1" t="s">
        <v>407</v>
      </c>
      <c r="K156" s="1" t="s">
        <v>5</v>
      </c>
      <c r="L156" s="2" t="str">
        <f>LEFT(K156,FIND( ",",K156)-1)</f>
        <v>Senin</v>
      </c>
      <c r="M156" s="2" t="str">
        <f>MID(K156,FIND(",",K156)+2,LEN(K156))</f>
        <v>08:00 - 09:40</v>
      </c>
      <c r="N156" s="1" t="s">
        <v>224</v>
      </c>
    </row>
    <row r="157" spans="2:14" ht="30" hidden="1" customHeight="1" x14ac:dyDescent="0.3">
      <c r="B157" s="2">
        <v>22</v>
      </c>
      <c r="C157" s="2" t="s">
        <v>405</v>
      </c>
      <c r="D157" s="2">
        <v>92</v>
      </c>
      <c r="E157" s="2">
        <v>25</v>
      </c>
      <c r="F157" s="1" t="s">
        <v>372</v>
      </c>
      <c r="G157" s="1" t="s">
        <v>220</v>
      </c>
      <c r="H157" s="2" t="s">
        <v>373</v>
      </c>
      <c r="I157" s="11" t="s">
        <v>408</v>
      </c>
      <c r="J157" s="1" t="s">
        <v>407</v>
      </c>
      <c r="K157" s="1" t="s">
        <v>12</v>
      </c>
      <c r="L157" s="2" t="str">
        <f>LEFT(K157,FIND( ",",K157)-1)</f>
        <v>Senin</v>
      </c>
      <c r="M157" s="2" t="str">
        <f>MID(K157,FIND(",",K157)+2,LEN(K157))</f>
        <v>10:00 - 11:40</v>
      </c>
      <c r="N157" s="1" t="s">
        <v>224</v>
      </c>
    </row>
    <row r="158" spans="2:14" ht="30" hidden="1" customHeight="1" x14ac:dyDescent="0.3">
      <c r="B158" s="2">
        <v>22</v>
      </c>
      <c r="C158" s="2" t="s">
        <v>405</v>
      </c>
      <c r="D158" s="2">
        <v>92</v>
      </c>
      <c r="E158" s="2">
        <v>60</v>
      </c>
      <c r="F158" s="1" t="s">
        <v>409</v>
      </c>
      <c r="G158" s="1" t="s">
        <v>173</v>
      </c>
      <c r="H158" s="2" t="s">
        <v>410</v>
      </c>
      <c r="I158" s="11" t="s">
        <v>411</v>
      </c>
      <c r="J158" s="1" t="s">
        <v>315</v>
      </c>
      <c r="K158" s="1" t="s">
        <v>19</v>
      </c>
      <c r="L158" s="2" t="str">
        <f>LEFT(K158,FIND( ",",K158)-1)</f>
        <v>Senin</v>
      </c>
      <c r="M158" s="2" t="str">
        <f>MID(K158,FIND(",",K158)+2,LEN(K158))</f>
        <v>13:00 - 14:40</v>
      </c>
      <c r="N158" s="1" t="s">
        <v>177</v>
      </c>
    </row>
    <row r="159" spans="2:14" ht="30" hidden="1" customHeight="1" x14ac:dyDescent="0.3">
      <c r="B159" s="5">
        <v>23</v>
      </c>
      <c r="C159" s="5" t="s">
        <v>420</v>
      </c>
      <c r="D159" s="5">
        <v>80</v>
      </c>
      <c r="E159" s="5">
        <v>14</v>
      </c>
      <c r="F159" s="7" t="s">
        <v>430</v>
      </c>
      <c r="G159" s="7" t="s">
        <v>220</v>
      </c>
      <c r="H159" s="5" t="s">
        <v>431</v>
      </c>
      <c r="I159" s="10" t="s">
        <v>432</v>
      </c>
      <c r="J159" s="7" t="s">
        <v>433</v>
      </c>
      <c r="K159" s="7" t="s">
        <v>24</v>
      </c>
      <c r="L159" s="5" t="str">
        <f>LEFT(K159,FIND( ",",K159)-1)</f>
        <v>Jumat</v>
      </c>
      <c r="M159" s="5" t="str">
        <f>MID(K159,FIND(",",K159)+2,LEN(K159))</f>
        <v>08:00 - 09:40</v>
      </c>
      <c r="N159" s="7" t="s">
        <v>224</v>
      </c>
    </row>
    <row r="160" spans="2:14" ht="30" hidden="1" customHeight="1" x14ac:dyDescent="0.3">
      <c r="B160" s="2">
        <v>34</v>
      </c>
      <c r="C160" s="2" t="s">
        <v>568</v>
      </c>
      <c r="D160" s="2">
        <v>52</v>
      </c>
      <c r="E160" s="2">
        <v>6</v>
      </c>
      <c r="F160" s="1" t="s">
        <v>219</v>
      </c>
      <c r="G160" s="1" t="s">
        <v>220</v>
      </c>
      <c r="H160" s="2" t="s">
        <v>221</v>
      </c>
      <c r="I160" s="11" t="s">
        <v>222</v>
      </c>
      <c r="J160" s="1" t="s">
        <v>225</v>
      </c>
      <c r="K160" s="1" t="s">
        <v>197</v>
      </c>
      <c r="L160" s="2" t="str">
        <f>LEFT(K160,FIND( ",",K160)-1)</f>
        <v>Kamis</v>
      </c>
      <c r="M160" s="2" t="str">
        <f>MID(K160,FIND(",",K160)+2,LEN(K160))</f>
        <v>10:00 - 10:50</v>
      </c>
      <c r="N160" s="1" t="s">
        <v>224</v>
      </c>
    </row>
    <row r="161" spans="2:14" ht="30" hidden="1" customHeight="1" x14ac:dyDescent="0.3">
      <c r="B161" s="2">
        <v>36</v>
      </c>
      <c r="C161" s="2" t="s">
        <v>584</v>
      </c>
      <c r="D161" s="2">
        <v>80</v>
      </c>
      <c r="E161" s="2">
        <v>34</v>
      </c>
      <c r="F161" s="1" t="s">
        <v>251</v>
      </c>
      <c r="G161" s="1" t="s">
        <v>220</v>
      </c>
      <c r="H161" s="2" t="s">
        <v>252</v>
      </c>
      <c r="I161" s="11" t="s">
        <v>481</v>
      </c>
      <c r="J161" s="1" t="s">
        <v>305</v>
      </c>
      <c r="K161" s="1" t="s">
        <v>197</v>
      </c>
      <c r="L161" s="2" t="str">
        <f>LEFT(K161,FIND( ",",K161)-1)</f>
        <v>Kamis</v>
      </c>
      <c r="M161" s="2" t="str">
        <f>MID(K161,FIND(",",K161)+2,LEN(K161))</f>
        <v>10:00 - 10:50</v>
      </c>
      <c r="N161" s="1" t="s">
        <v>224</v>
      </c>
    </row>
    <row r="162" spans="2:14" ht="30" hidden="1" customHeight="1" x14ac:dyDescent="0.3">
      <c r="B162" s="5">
        <v>13</v>
      </c>
      <c r="C162" s="5" t="s">
        <v>203</v>
      </c>
      <c r="D162" s="5">
        <v>60</v>
      </c>
      <c r="E162" s="5">
        <v>59</v>
      </c>
      <c r="F162" s="7" t="s">
        <v>226</v>
      </c>
      <c r="G162" s="7" t="s">
        <v>227</v>
      </c>
      <c r="H162" s="5" t="s">
        <v>228</v>
      </c>
      <c r="I162" s="10" t="s">
        <v>228</v>
      </c>
      <c r="J162" s="7" t="s">
        <v>229</v>
      </c>
      <c r="K162" s="7" t="s">
        <v>44</v>
      </c>
      <c r="L162" s="5" t="str">
        <f>LEFT(K162,FIND( ",",K162)-1)</f>
        <v>Kamis</v>
      </c>
      <c r="M162" s="5" t="str">
        <f>MID(K162,FIND(",",K162)+2,LEN(K162))</f>
        <v>10:00 - 11:40</v>
      </c>
      <c r="N162" s="7" t="s">
        <v>230</v>
      </c>
    </row>
    <row r="163" spans="2:14" ht="30" hidden="1" customHeight="1" x14ac:dyDescent="0.3">
      <c r="B163" s="2">
        <v>18</v>
      </c>
      <c r="C163" s="2" t="s">
        <v>326</v>
      </c>
      <c r="D163" s="2">
        <v>65</v>
      </c>
      <c r="E163" s="2">
        <v>19</v>
      </c>
      <c r="F163" s="1" t="s">
        <v>337</v>
      </c>
      <c r="G163" s="1" t="s">
        <v>173</v>
      </c>
      <c r="H163" s="2" t="s">
        <v>338</v>
      </c>
      <c r="I163" s="11" t="s">
        <v>339</v>
      </c>
      <c r="J163" s="1" t="s">
        <v>340</v>
      </c>
      <c r="K163" s="1" t="s">
        <v>44</v>
      </c>
      <c r="L163" s="2" t="str">
        <f>LEFT(K163,FIND( ",",K163)-1)</f>
        <v>Kamis</v>
      </c>
      <c r="M163" s="2" t="str">
        <f>MID(K163,FIND(",",K163)+2,LEN(K163))</f>
        <v>10:00 - 11:40</v>
      </c>
      <c r="N163" s="1" t="s">
        <v>177</v>
      </c>
    </row>
    <row r="164" spans="2:14" ht="30" hidden="1" customHeight="1" x14ac:dyDescent="0.3">
      <c r="B164" s="5">
        <v>29</v>
      </c>
      <c r="C164" s="5" t="s">
        <v>505</v>
      </c>
      <c r="D164" s="5">
        <v>80</v>
      </c>
      <c r="E164" s="5">
        <v>44</v>
      </c>
      <c r="F164" s="7" t="s">
        <v>214</v>
      </c>
      <c r="G164" s="7" t="s">
        <v>173</v>
      </c>
      <c r="H164" s="5" t="s">
        <v>215</v>
      </c>
      <c r="I164" s="10" t="s">
        <v>517</v>
      </c>
      <c r="J164" s="7" t="s">
        <v>516</v>
      </c>
      <c r="K164" s="7" t="s">
        <v>44</v>
      </c>
      <c r="L164" s="5" t="str">
        <f>LEFT(K164,FIND( ",",K164)-1)</f>
        <v>Kamis</v>
      </c>
      <c r="M164" s="5" t="str">
        <f>MID(K164,FIND(",",K164)+2,LEN(K164))</f>
        <v>10:00 - 11:40</v>
      </c>
      <c r="N164" s="7" t="s">
        <v>177</v>
      </c>
    </row>
    <row r="165" spans="2:14" ht="30" customHeight="1" x14ac:dyDescent="0.3">
      <c r="B165" s="5">
        <v>23</v>
      </c>
      <c r="C165" s="5" t="s">
        <v>420</v>
      </c>
      <c r="D165" s="5">
        <v>80</v>
      </c>
      <c r="E165" s="5">
        <v>14</v>
      </c>
      <c r="F165" s="7" t="s">
        <v>430</v>
      </c>
      <c r="G165" s="7" t="s">
        <v>220</v>
      </c>
      <c r="H165" s="5" t="s">
        <v>431</v>
      </c>
      <c r="I165" s="10" t="s">
        <v>432</v>
      </c>
      <c r="J165" s="7" t="s">
        <v>433</v>
      </c>
      <c r="K165" s="7" t="s">
        <v>195</v>
      </c>
      <c r="L165" s="5" t="str">
        <f>LEFT(K165,FIND( ",",K165)-1)</f>
        <v>Rabu</v>
      </c>
      <c r="M165" s="5" t="str">
        <f>MID(K165,FIND(",",K165)+2,LEN(K165))</f>
        <v>09:00 - 09:50</v>
      </c>
      <c r="N165" s="7" t="s">
        <v>224</v>
      </c>
    </row>
    <row r="166" spans="2:14" ht="30" customHeight="1" x14ac:dyDescent="0.3">
      <c r="B166" s="5">
        <v>23</v>
      </c>
      <c r="C166" s="5" t="s">
        <v>420</v>
      </c>
      <c r="D166" s="5">
        <v>80</v>
      </c>
      <c r="E166" s="5">
        <v>47</v>
      </c>
      <c r="F166" s="7" t="s">
        <v>297</v>
      </c>
      <c r="G166" s="7" t="s">
        <v>220</v>
      </c>
      <c r="H166" s="5" t="s">
        <v>298</v>
      </c>
      <c r="I166" s="10" t="s">
        <v>423</v>
      </c>
      <c r="J166" s="7" t="s">
        <v>123</v>
      </c>
      <c r="K166" s="7" t="s">
        <v>31</v>
      </c>
      <c r="L166" s="5" t="str">
        <f>LEFT(K166,FIND( ",",K166)-1)</f>
        <v>Rabu</v>
      </c>
      <c r="M166" s="5" t="str">
        <f>MID(K166,FIND(",",K166)+2,LEN(K166))</f>
        <v>10:00 - 11:40</v>
      </c>
      <c r="N166" s="7" t="s">
        <v>224</v>
      </c>
    </row>
    <row r="167" spans="2:14" ht="30" customHeight="1" x14ac:dyDescent="0.3">
      <c r="B167" s="5">
        <v>23</v>
      </c>
      <c r="C167" s="5" t="s">
        <v>420</v>
      </c>
      <c r="D167" s="5">
        <v>80</v>
      </c>
      <c r="E167" s="5">
        <v>47</v>
      </c>
      <c r="F167" s="7" t="s">
        <v>297</v>
      </c>
      <c r="G167" s="7" t="s">
        <v>220</v>
      </c>
      <c r="H167" s="5" t="s">
        <v>298</v>
      </c>
      <c r="I167" s="10" t="s">
        <v>423</v>
      </c>
      <c r="J167" s="7" t="s">
        <v>362</v>
      </c>
      <c r="K167" s="7" t="s">
        <v>31</v>
      </c>
      <c r="L167" s="5" t="str">
        <f>LEFT(K167,FIND( ",",K167)-1)</f>
        <v>Rabu</v>
      </c>
      <c r="M167" s="5" t="str">
        <f>MID(K167,FIND(",",K167)+2,LEN(K167))</f>
        <v>10:00 - 11:40</v>
      </c>
      <c r="N167" s="7" t="s">
        <v>224</v>
      </c>
    </row>
    <row r="168" spans="2:14" ht="30" customHeight="1" x14ac:dyDescent="0.3">
      <c r="B168" s="5">
        <v>23</v>
      </c>
      <c r="C168" s="5" t="s">
        <v>420</v>
      </c>
      <c r="D168" s="5">
        <v>80</v>
      </c>
      <c r="E168" s="5">
        <v>44</v>
      </c>
      <c r="F168" s="7" t="s">
        <v>297</v>
      </c>
      <c r="G168" s="7" t="s">
        <v>220</v>
      </c>
      <c r="H168" s="5" t="s">
        <v>298</v>
      </c>
      <c r="I168" s="10" t="s">
        <v>424</v>
      </c>
      <c r="J168" s="7" t="s">
        <v>362</v>
      </c>
      <c r="K168" s="7" t="s">
        <v>196</v>
      </c>
      <c r="L168" s="5" t="str">
        <f>LEFT(K168,FIND( ",",K168)-1)</f>
        <v>Rabu</v>
      </c>
      <c r="M168" s="5" t="str">
        <f>MID(K168,FIND(",",K168)+2,LEN(K168))</f>
        <v>14:00 - 15:40</v>
      </c>
      <c r="N168" s="7" t="s">
        <v>224</v>
      </c>
    </row>
    <row r="169" spans="2:14" ht="30" hidden="1" customHeight="1" x14ac:dyDescent="0.3">
      <c r="B169" s="5">
        <v>23</v>
      </c>
      <c r="C169" s="5" t="s">
        <v>420</v>
      </c>
      <c r="D169" s="5">
        <v>80</v>
      </c>
      <c r="E169" s="5">
        <v>33</v>
      </c>
      <c r="F169" s="7" t="s">
        <v>251</v>
      </c>
      <c r="G169" s="7" t="s">
        <v>220</v>
      </c>
      <c r="H169" s="5" t="s">
        <v>252</v>
      </c>
      <c r="I169" s="10" t="s">
        <v>388</v>
      </c>
      <c r="J169" s="7" t="s">
        <v>369</v>
      </c>
      <c r="K169" s="7" t="s">
        <v>37</v>
      </c>
      <c r="L169" s="5" t="str">
        <f>LEFT(K169,FIND( ",",K169)-1)</f>
        <v>Selasa</v>
      </c>
      <c r="M169" s="5" t="str">
        <f>MID(K169,FIND(",",K169)+2,LEN(K169))</f>
        <v>10:00 - 11:40</v>
      </c>
      <c r="N169" s="7" t="s">
        <v>224</v>
      </c>
    </row>
    <row r="170" spans="2:14" ht="30" hidden="1" customHeight="1" x14ac:dyDescent="0.3">
      <c r="B170" s="5">
        <v>23</v>
      </c>
      <c r="C170" s="5" t="s">
        <v>420</v>
      </c>
      <c r="D170" s="5">
        <v>80</v>
      </c>
      <c r="E170" s="5">
        <v>58</v>
      </c>
      <c r="F170" s="7" t="s">
        <v>251</v>
      </c>
      <c r="G170" s="7" t="s">
        <v>220</v>
      </c>
      <c r="H170" s="5" t="s">
        <v>252</v>
      </c>
      <c r="I170" s="10" t="s">
        <v>426</v>
      </c>
      <c r="J170" s="7" t="s">
        <v>369</v>
      </c>
      <c r="K170" s="7" t="s">
        <v>42</v>
      </c>
      <c r="L170" s="5" t="str">
        <f>LEFT(K170,FIND( ",",K170)-1)</f>
        <v>Selasa</v>
      </c>
      <c r="M170" s="5" t="str">
        <f>MID(K170,FIND(",",K170)+2,LEN(K170))</f>
        <v>13:00 - 14:40</v>
      </c>
      <c r="N170" s="7" t="s">
        <v>224</v>
      </c>
    </row>
    <row r="171" spans="2:14" ht="30" hidden="1" customHeight="1" x14ac:dyDescent="0.3">
      <c r="B171" s="5">
        <v>23</v>
      </c>
      <c r="C171" s="5" t="s">
        <v>420</v>
      </c>
      <c r="D171" s="5">
        <v>80</v>
      </c>
      <c r="E171" s="5">
        <v>33</v>
      </c>
      <c r="F171" s="7" t="s">
        <v>244</v>
      </c>
      <c r="G171" s="7" t="s">
        <v>220</v>
      </c>
      <c r="H171" s="5" t="s">
        <v>245</v>
      </c>
      <c r="I171" s="10" t="s">
        <v>427</v>
      </c>
      <c r="J171" s="7" t="s">
        <v>428</v>
      </c>
      <c r="K171" s="7" t="s">
        <v>429</v>
      </c>
      <c r="L171" s="5" t="str">
        <f>LEFT(K171,FIND( ",",K171)-1)</f>
        <v>Selasa</v>
      </c>
      <c r="M171" s="5" t="str">
        <f>MID(K171,FIND(",",K171)+2,LEN(K171))</f>
        <v>15:00 - 15:50</v>
      </c>
      <c r="N171" s="7" t="s">
        <v>224</v>
      </c>
    </row>
    <row r="172" spans="2:14" ht="30" hidden="1" customHeight="1" x14ac:dyDescent="0.3">
      <c r="B172" s="5">
        <v>23</v>
      </c>
      <c r="C172" s="5" t="s">
        <v>420</v>
      </c>
      <c r="D172" s="5">
        <v>80</v>
      </c>
      <c r="E172" s="5">
        <v>58</v>
      </c>
      <c r="F172" s="7" t="s">
        <v>251</v>
      </c>
      <c r="G172" s="7" t="s">
        <v>220</v>
      </c>
      <c r="H172" s="5" t="s">
        <v>252</v>
      </c>
      <c r="I172" s="10" t="s">
        <v>426</v>
      </c>
      <c r="J172" s="7" t="s">
        <v>369</v>
      </c>
      <c r="K172" s="7" t="s">
        <v>257</v>
      </c>
      <c r="L172" s="5" t="str">
        <f>LEFT(K172,FIND( ",",K172)-1)</f>
        <v>Selasa</v>
      </c>
      <c r="M172" s="5" t="str">
        <f>MID(K172,FIND(",",K172)+2,LEN(K172))</f>
        <v>16:00 - 16:50</v>
      </c>
      <c r="N172" s="7" t="s">
        <v>224</v>
      </c>
    </row>
    <row r="173" spans="2:14" ht="30" hidden="1" customHeight="1" x14ac:dyDescent="0.3">
      <c r="B173" s="5">
        <v>23</v>
      </c>
      <c r="C173" s="5" t="s">
        <v>420</v>
      </c>
      <c r="D173" s="5">
        <v>80</v>
      </c>
      <c r="E173" s="5">
        <v>40</v>
      </c>
      <c r="F173" s="7" t="s">
        <v>172</v>
      </c>
      <c r="G173" s="7" t="s">
        <v>220</v>
      </c>
      <c r="H173" s="5" t="s">
        <v>174</v>
      </c>
      <c r="I173" s="10" t="s">
        <v>421</v>
      </c>
      <c r="J173" s="7" t="s">
        <v>422</v>
      </c>
      <c r="K173" s="7" t="s">
        <v>5</v>
      </c>
      <c r="L173" s="5" t="str">
        <f>LEFT(K173,FIND( ",",K173)-1)</f>
        <v>Senin</v>
      </c>
      <c r="M173" s="5" t="str">
        <f>MID(K173,FIND(",",K173)+2,LEN(K173))</f>
        <v>08:00 - 09:40</v>
      </c>
      <c r="N173" s="7" t="s">
        <v>224</v>
      </c>
    </row>
    <row r="174" spans="2:14" ht="30" hidden="1" customHeight="1" x14ac:dyDescent="0.3">
      <c r="B174" s="5">
        <v>23</v>
      </c>
      <c r="C174" s="5" t="s">
        <v>420</v>
      </c>
      <c r="D174" s="5">
        <v>80</v>
      </c>
      <c r="E174" s="5">
        <v>47</v>
      </c>
      <c r="F174" s="7" t="s">
        <v>297</v>
      </c>
      <c r="G174" s="7" t="s">
        <v>220</v>
      </c>
      <c r="H174" s="5" t="s">
        <v>298</v>
      </c>
      <c r="I174" s="10" t="s">
        <v>423</v>
      </c>
      <c r="J174" s="7" t="s">
        <v>362</v>
      </c>
      <c r="K174" s="7" t="s">
        <v>12</v>
      </c>
      <c r="L174" s="5" t="str">
        <f>LEFT(K174,FIND( ",",K174)-1)</f>
        <v>Senin</v>
      </c>
      <c r="M174" s="5" t="str">
        <f>MID(K174,FIND(",",K174)+2,LEN(K174))</f>
        <v>10:00 - 11:40</v>
      </c>
      <c r="N174" s="7" t="s">
        <v>224</v>
      </c>
    </row>
    <row r="175" spans="2:14" ht="30" hidden="1" customHeight="1" x14ac:dyDescent="0.3">
      <c r="B175" s="5">
        <v>23</v>
      </c>
      <c r="C175" s="5" t="s">
        <v>420</v>
      </c>
      <c r="D175" s="5">
        <v>80</v>
      </c>
      <c r="E175" s="5">
        <v>47</v>
      </c>
      <c r="F175" s="7" t="s">
        <v>297</v>
      </c>
      <c r="G175" s="7" t="s">
        <v>220</v>
      </c>
      <c r="H175" s="5" t="s">
        <v>298</v>
      </c>
      <c r="I175" s="10" t="s">
        <v>423</v>
      </c>
      <c r="J175" s="7" t="s">
        <v>123</v>
      </c>
      <c r="K175" s="7" t="s">
        <v>12</v>
      </c>
      <c r="L175" s="5" t="str">
        <f>LEFT(K175,FIND( ",",K175)-1)</f>
        <v>Senin</v>
      </c>
      <c r="M175" s="5" t="str">
        <f>MID(K175,FIND(",",K175)+2,LEN(K175))</f>
        <v>10:00 - 11:40</v>
      </c>
      <c r="N175" s="7" t="s">
        <v>224</v>
      </c>
    </row>
    <row r="176" spans="2:14" ht="30" hidden="1" customHeight="1" x14ac:dyDescent="0.3">
      <c r="B176" s="5">
        <v>23</v>
      </c>
      <c r="C176" s="5" t="s">
        <v>420</v>
      </c>
      <c r="D176" s="5">
        <v>80</v>
      </c>
      <c r="E176" s="5">
        <v>44</v>
      </c>
      <c r="F176" s="7" t="s">
        <v>297</v>
      </c>
      <c r="G176" s="7" t="s">
        <v>220</v>
      </c>
      <c r="H176" s="5" t="s">
        <v>298</v>
      </c>
      <c r="I176" s="10" t="s">
        <v>424</v>
      </c>
      <c r="J176" s="7" t="s">
        <v>362</v>
      </c>
      <c r="K176" s="7" t="s">
        <v>19</v>
      </c>
      <c r="L176" s="5" t="str">
        <f>LEFT(K176,FIND( ",",K176)-1)</f>
        <v>Senin</v>
      </c>
      <c r="M176" s="5" t="str">
        <f>MID(K176,FIND(",",K176)+2,LEN(K176))</f>
        <v>13:00 - 14:40</v>
      </c>
      <c r="N176" s="7" t="s">
        <v>224</v>
      </c>
    </row>
    <row r="177" spans="2:14" ht="30" hidden="1" customHeight="1" x14ac:dyDescent="0.3">
      <c r="B177" s="5">
        <v>23</v>
      </c>
      <c r="C177" s="5" t="s">
        <v>420</v>
      </c>
      <c r="D177" s="5">
        <v>80</v>
      </c>
      <c r="E177" s="5">
        <v>18</v>
      </c>
      <c r="F177" s="7" t="s">
        <v>323</v>
      </c>
      <c r="G177" s="7" t="s">
        <v>220</v>
      </c>
      <c r="H177" s="5" t="s">
        <v>324</v>
      </c>
      <c r="I177" s="10" t="s">
        <v>425</v>
      </c>
      <c r="J177" s="7" t="s">
        <v>387</v>
      </c>
      <c r="K177" s="7" t="s">
        <v>21</v>
      </c>
      <c r="L177" s="5" t="str">
        <f>LEFT(K177,FIND( ",",K177)-1)</f>
        <v>Senin</v>
      </c>
      <c r="M177" s="5" t="str">
        <f>MID(K177,FIND(",",K177)+2,LEN(K177))</f>
        <v>15:00 - 16:40</v>
      </c>
      <c r="N177" s="7" t="s">
        <v>224</v>
      </c>
    </row>
    <row r="178" spans="2:14" ht="30" hidden="1" customHeight="1" x14ac:dyDescent="0.3">
      <c r="B178" s="2">
        <v>24</v>
      </c>
      <c r="C178" s="2" t="s">
        <v>436</v>
      </c>
      <c r="D178" s="2">
        <v>100</v>
      </c>
      <c r="E178" s="2">
        <v>43</v>
      </c>
      <c r="F178" s="1" t="s">
        <v>415</v>
      </c>
      <c r="G178" s="1" t="s">
        <v>220</v>
      </c>
      <c r="H178" s="2" t="s">
        <v>416</v>
      </c>
      <c r="I178" s="11" t="s">
        <v>443</v>
      </c>
      <c r="J178" s="1" t="s">
        <v>243</v>
      </c>
      <c r="K178" s="1" t="s">
        <v>444</v>
      </c>
      <c r="L178" s="2" t="str">
        <f>LEFT(K178,FIND( ",",K178)-1)</f>
        <v>Jumat</v>
      </c>
      <c r="M178" s="2" t="str">
        <f>MID(K178,FIND(",",K178)+2,LEN(K178))</f>
        <v>08:00 - 09:50</v>
      </c>
      <c r="N178" s="1" t="s">
        <v>224</v>
      </c>
    </row>
    <row r="179" spans="2:14" ht="30" hidden="1" customHeight="1" x14ac:dyDescent="0.3">
      <c r="B179" s="2">
        <v>24</v>
      </c>
      <c r="C179" s="2" t="s">
        <v>436</v>
      </c>
      <c r="D179" s="2">
        <v>100</v>
      </c>
      <c r="E179" s="2">
        <v>18</v>
      </c>
      <c r="F179" s="1" t="s">
        <v>445</v>
      </c>
      <c r="G179" s="1" t="s">
        <v>220</v>
      </c>
      <c r="H179" s="2" t="s">
        <v>446</v>
      </c>
      <c r="I179" s="11" t="s">
        <v>447</v>
      </c>
      <c r="J179" s="1" t="s">
        <v>400</v>
      </c>
      <c r="K179" s="1" t="s">
        <v>448</v>
      </c>
      <c r="L179" s="2" t="str">
        <f>LEFT(K179,FIND( ",",K179)-1)</f>
        <v>Jumat</v>
      </c>
      <c r="M179" s="2" t="str">
        <f>MID(K179,FIND(",",K179)+2,LEN(K179))</f>
        <v>16:00 - 16:50</v>
      </c>
      <c r="N179" s="1" t="s">
        <v>224</v>
      </c>
    </row>
    <row r="180" spans="2:14" ht="30" hidden="1" customHeight="1" x14ac:dyDescent="0.3">
      <c r="B180" s="2">
        <v>24</v>
      </c>
      <c r="C180" s="2" t="s">
        <v>436</v>
      </c>
      <c r="D180" s="2">
        <v>100</v>
      </c>
      <c r="E180" s="2">
        <v>18</v>
      </c>
      <c r="F180" s="1" t="s">
        <v>445</v>
      </c>
      <c r="G180" s="1" t="s">
        <v>220</v>
      </c>
      <c r="H180" s="2" t="s">
        <v>446</v>
      </c>
      <c r="I180" s="11" t="s">
        <v>447</v>
      </c>
      <c r="J180" s="1" t="s">
        <v>225</v>
      </c>
      <c r="K180" s="1" t="s">
        <v>448</v>
      </c>
      <c r="L180" s="2" t="str">
        <f>LEFT(K180,FIND( ",",K180)-1)</f>
        <v>Jumat</v>
      </c>
      <c r="M180" s="2" t="str">
        <f>MID(K180,FIND(",",K180)+2,LEN(K180))</f>
        <v>16:00 - 16:50</v>
      </c>
      <c r="N180" s="1" t="s">
        <v>224</v>
      </c>
    </row>
    <row r="181" spans="2:14" ht="30" hidden="1" customHeight="1" x14ac:dyDescent="0.3">
      <c r="B181" s="2">
        <v>30</v>
      </c>
      <c r="C181" s="2" t="s">
        <v>519</v>
      </c>
      <c r="D181" s="2">
        <v>80</v>
      </c>
      <c r="E181" s="2">
        <v>18</v>
      </c>
      <c r="F181" s="1" t="s">
        <v>492</v>
      </c>
      <c r="G181" s="1" t="s">
        <v>220</v>
      </c>
      <c r="H181" s="2" t="s">
        <v>493</v>
      </c>
      <c r="I181" s="11" t="s">
        <v>525</v>
      </c>
      <c r="J181" s="1" t="s">
        <v>433</v>
      </c>
      <c r="K181" s="1" t="s">
        <v>44</v>
      </c>
      <c r="L181" s="2" t="str">
        <f>LEFT(K181,FIND( ",",K181)-1)</f>
        <v>Kamis</v>
      </c>
      <c r="M181" s="2" t="str">
        <f>MID(K181,FIND(",",K181)+2,LEN(K181))</f>
        <v>10:00 - 11:40</v>
      </c>
      <c r="N181" s="1" t="s">
        <v>224</v>
      </c>
    </row>
    <row r="182" spans="2:14" ht="30" hidden="1" customHeight="1" x14ac:dyDescent="0.3">
      <c r="B182" s="5">
        <v>31</v>
      </c>
      <c r="C182" s="5" t="s">
        <v>537</v>
      </c>
      <c r="D182" s="5">
        <v>80</v>
      </c>
      <c r="E182" s="5">
        <v>30</v>
      </c>
      <c r="F182" s="7" t="s">
        <v>214</v>
      </c>
      <c r="G182" s="7" t="s">
        <v>173</v>
      </c>
      <c r="H182" s="5" t="s">
        <v>215</v>
      </c>
      <c r="I182" s="10" t="s">
        <v>545</v>
      </c>
      <c r="J182" s="7" t="s">
        <v>544</v>
      </c>
      <c r="K182" s="7" t="s">
        <v>44</v>
      </c>
      <c r="L182" s="5" t="str">
        <f>LEFT(K182,FIND( ",",K182)-1)</f>
        <v>Kamis</v>
      </c>
      <c r="M182" s="5" t="str">
        <f>MID(K182,FIND(",",K182)+2,LEN(K182))</f>
        <v>10:00 - 11:40</v>
      </c>
      <c r="N182" s="7" t="s">
        <v>177</v>
      </c>
    </row>
    <row r="183" spans="2:14" ht="30" customHeight="1" x14ac:dyDescent="0.3">
      <c r="B183" s="2">
        <v>24</v>
      </c>
      <c r="C183" s="2" t="s">
        <v>436</v>
      </c>
      <c r="D183" s="2">
        <v>100</v>
      </c>
      <c r="E183" s="2">
        <v>10</v>
      </c>
      <c r="F183" s="1" t="s">
        <v>439</v>
      </c>
      <c r="G183" s="1" t="s">
        <v>220</v>
      </c>
      <c r="H183" s="2" t="s">
        <v>121</v>
      </c>
      <c r="I183" s="11" t="s">
        <v>440</v>
      </c>
      <c r="J183" s="1" t="s">
        <v>14</v>
      </c>
      <c r="K183" s="1" t="s">
        <v>217</v>
      </c>
      <c r="L183" s="2" t="str">
        <f>LEFT(K183,FIND( ",",K183)-1)</f>
        <v>Rabu</v>
      </c>
      <c r="M183" s="2" t="str">
        <f>MID(K183,FIND(",",K183)+2,LEN(K183))</f>
        <v>10:00 - 10:50</v>
      </c>
      <c r="N183" s="1" t="s">
        <v>224</v>
      </c>
    </row>
    <row r="184" spans="2:14" ht="30" customHeight="1" x14ac:dyDescent="0.3">
      <c r="B184" s="2">
        <v>24</v>
      </c>
      <c r="C184" s="2" t="s">
        <v>436</v>
      </c>
      <c r="D184" s="2">
        <v>100</v>
      </c>
      <c r="E184" s="2">
        <v>10</v>
      </c>
      <c r="F184" s="1" t="s">
        <v>439</v>
      </c>
      <c r="G184" s="1" t="s">
        <v>220</v>
      </c>
      <c r="H184" s="2" t="s">
        <v>121</v>
      </c>
      <c r="I184" s="11" t="s">
        <v>440</v>
      </c>
      <c r="J184" s="1" t="s">
        <v>441</v>
      </c>
      <c r="K184" s="1" t="s">
        <v>217</v>
      </c>
      <c r="L184" s="2" t="str">
        <f>LEFT(K184,FIND( ",",K184)-1)</f>
        <v>Rabu</v>
      </c>
      <c r="M184" s="2" t="str">
        <f>MID(K184,FIND(",",K184)+2,LEN(K184))</f>
        <v>10:00 - 10:50</v>
      </c>
      <c r="N184" s="1" t="s">
        <v>224</v>
      </c>
    </row>
    <row r="185" spans="2:14" ht="30" hidden="1" customHeight="1" x14ac:dyDescent="0.3">
      <c r="B185" s="2">
        <v>24</v>
      </c>
      <c r="C185" s="2" t="s">
        <v>436</v>
      </c>
      <c r="D185" s="2">
        <v>100</v>
      </c>
      <c r="E185" s="2">
        <v>45</v>
      </c>
      <c r="F185" s="1" t="s">
        <v>415</v>
      </c>
      <c r="G185" s="1" t="s">
        <v>220</v>
      </c>
      <c r="H185" s="2" t="s">
        <v>416</v>
      </c>
      <c r="I185" s="11" t="s">
        <v>442</v>
      </c>
      <c r="J185" s="1" t="s">
        <v>234</v>
      </c>
      <c r="K185" s="1" t="s">
        <v>37</v>
      </c>
      <c r="L185" s="2" t="str">
        <f>LEFT(K185,FIND( ",",K185)-1)</f>
        <v>Selasa</v>
      </c>
      <c r="M185" s="2" t="str">
        <f>MID(K185,FIND(",",K185)+2,LEN(K185))</f>
        <v>10:00 - 11:40</v>
      </c>
      <c r="N185" s="1" t="s">
        <v>224</v>
      </c>
    </row>
    <row r="186" spans="2:14" ht="30" hidden="1" customHeight="1" x14ac:dyDescent="0.3">
      <c r="B186" s="2">
        <v>24</v>
      </c>
      <c r="C186" s="2" t="s">
        <v>436</v>
      </c>
      <c r="D186" s="2">
        <v>100</v>
      </c>
      <c r="E186" s="2">
        <v>43</v>
      </c>
      <c r="F186" s="1" t="s">
        <v>415</v>
      </c>
      <c r="G186" s="1" t="s">
        <v>220</v>
      </c>
      <c r="H186" s="2" t="s">
        <v>416</v>
      </c>
      <c r="I186" s="11" t="s">
        <v>443</v>
      </c>
      <c r="J186" s="1" t="s">
        <v>243</v>
      </c>
      <c r="K186" s="1" t="s">
        <v>42</v>
      </c>
      <c r="L186" s="2" t="str">
        <f>LEFT(K186,FIND( ",",K186)-1)</f>
        <v>Selasa</v>
      </c>
      <c r="M186" s="2" t="str">
        <f>MID(K186,FIND(",",K186)+2,LEN(K186))</f>
        <v>13:00 - 14:40</v>
      </c>
      <c r="N186" s="1" t="s">
        <v>224</v>
      </c>
    </row>
    <row r="187" spans="2:14" ht="30" hidden="1" customHeight="1" x14ac:dyDescent="0.3">
      <c r="B187" s="2">
        <v>24</v>
      </c>
      <c r="C187" s="2" t="s">
        <v>436</v>
      </c>
      <c r="D187" s="2">
        <v>100</v>
      </c>
      <c r="E187" s="2">
        <v>0</v>
      </c>
      <c r="F187" s="1" t="s">
        <v>172</v>
      </c>
      <c r="G187" s="1" t="s">
        <v>220</v>
      </c>
      <c r="H187" s="2" t="s">
        <v>174</v>
      </c>
      <c r="I187" s="11" t="s">
        <v>437</v>
      </c>
      <c r="J187" s="1" t="s">
        <v>438</v>
      </c>
      <c r="K187" s="1" t="s">
        <v>5</v>
      </c>
      <c r="L187" s="2" t="str">
        <f>LEFT(K187,FIND( ",",K187)-1)</f>
        <v>Senin</v>
      </c>
      <c r="M187" s="2" t="str">
        <f>MID(K187,FIND(",",K187)+2,LEN(K187))</f>
        <v>08:00 - 09:40</v>
      </c>
      <c r="N187" s="1" t="s">
        <v>224</v>
      </c>
    </row>
    <row r="188" spans="2:14" ht="30" hidden="1" customHeight="1" x14ac:dyDescent="0.3">
      <c r="B188" s="2">
        <v>24</v>
      </c>
      <c r="C188" s="2" t="s">
        <v>436</v>
      </c>
      <c r="D188" s="2">
        <v>100</v>
      </c>
      <c r="E188" s="2">
        <v>10</v>
      </c>
      <c r="F188" s="1" t="s">
        <v>439</v>
      </c>
      <c r="G188" s="1" t="s">
        <v>220</v>
      </c>
      <c r="H188" s="2" t="s">
        <v>121</v>
      </c>
      <c r="I188" s="11" t="s">
        <v>440</v>
      </c>
      <c r="J188" s="1" t="s">
        <v>14</v>
      </c>
      <c r="K188" s="1" t="s">
        <v>12</v>
      </c>
      <c r="L188" s="2" t="str">
        <f>LEFT(K188,FIND( ",",K188)-1)</f>
        <v>Senin</v>
      </c>
      <c r="M188" s="2" t="str">
        <f>MID(K188,FIND(",",K188)+2,LEN(K188))</f>
        <v>10:00 - 11:40</v>
      </c>
      <c r="N188" s="1" t="s">
        <v>224</v>
      </c>
    </row>
    <row r="189" spans="2:14" ht="30" hidden="1" customHeight="1" x14ac:dyDescent="0.3">
      <c r="B189" s="2">
        <v>24</v>
      </c>
      <c r="C189" s="2" t="s">
        <v>436</v>
      </c>
      <c r="D189" s="2">
        <v>100</v>
      </c>
      <c r="E189" s="2">
        <v>10</v>
      </c>
      <c r="F189" s="1" t="s">
        <v>439</v>
      </c>
      <c r="G189" s="1" t="s">
        <v>220</v>
      </c>
      <c r="H189" s="2" t="s">
        <v>121</v>
      </c>
      <c r="I189" s="11" t="s">
        <v>440</v>
      </c>
      <c r="J189" s="1" t="s">
        <v>441</v>
      </c>
      <c r="K189" s="1" t="s">
        <v>12</v>
      </c>
      <c r="L189" s="2" t="str">
        <f>LEFT(K189,FIND( ",",K189)-1)</f>
        <v>Senin</v>
      </c>
      <c r="M189" s="2" t="str">
        <f>MID(K189,FIND(",",K189)+2,LEN(K189))</f>
        <v>10:00 - 11:40</v>
      </c>
      <c r="N189" s="1" t="s">
        <v>224</v>
      </c>
    </row>
    <row r="190" spans="2:14" ht="30" hidden="1" customHeight="1" x14ac:dyDescent="0.3">
      <c r="B190" s="5">
        <v>25</v>
      </c>
      <c r="C190" s="5" t="s">
        <v>449</v>
      </c>
      <c r="D190" s="5">
        <v>80</v>
      </c>
      <c r="E190" s="5">
        <v>59</v>
      </c>
      <c r="F190" s="7" t="s">
        <v>240</v>
      </c>
      <c r="G190" s="7" t="s">
        <v>227</v>
      </c>
      <c r="H190" s="5" t="s">
        <v>241</v>
      </c>
      <c r="I190" s="10" t="s">
        <v>242</v>
      </c>
      <c r="J190" s="7" t="s">
        <v>243</v>
      </c>
      <c r="K190" s="7" t="s">
        <v>459</v>
      </c>
      <c r="L190" s="5" t="str">
        <f>LEFT(K190,FIND( ",",K190)-1)</f>
        <v>Jumat</v>
      </c>
      <c r="M190" s="5" t="str">
        <f>MID(K190,FIND(",",K190)+2,LEN(K190))</f>
        <v>09:00 - 10:40</v>
      </c>
      <c r="N190" s="7" t="s">
        <v>230</v>
      </c>
    </row>
    <row r="191" spans="2:14" ht="30" hidden="1" customHeight="1" x14ac:dyDescent="0.3">
      <c r="B191" s="5">
        <v>33</v>
      </c>
      <c r="C191" s="5" t="s">
        <v>555</v>
      </c>
      <c r="D191" s="5">
        <v>61</v>
      </c>
      <c r="E191" s="5">
        <v>46</v>
      </c>
      <c r="F191" s="7" t="s">
        <v>214</v>
      </c>
      <c r="G191" s="7" t="s">
        <v>173</v>
      </c>
      <c r="H191" s="5" t="s">
        <v>215</v>
      </c>
      <c r="I191" s="10" t="s">
        <v>565</v>
      </c>
      <c r="J191" s="7" t="s">
        <v>441</v>
      </c>
      <c r="K191" s="7" t="s">
        <v>44</v>
      </c>
      <c r="L191" s="5" t="str">
        <f>LEFT(K191,FIND( ",",K191)-1)</f>
        <v>Kamis</v>
      </c>
      <c r="M191" s="5" t="str">
        <f>MID(K191,FIND(",",K191)+2,LEN(K191))</f>
        <v>10:00 - 11:40</v>
      </c>
      <c r="N191" s="7" t="s">
        <v>177</v>
      </c>
    </row>
    <row r="192" spans="2:14" ht="30" hidden="1" customHeight="1" x14ac:dyDescent="0.3">
      <c r="B192" s="5">
        <v>35</v>
      </c>
      <c r="C192" s="5" t="s">
        <v>574</v>
      </c>
      <c r="D192" s="5">
        <v>31</v>
      </c>
      <c r="E192" s="5">
        <v>10</v>
      </c>
      <c r="F192" s="7" t="s">
        <v>581</v>
      </c>
      <c r="G192" s="7" t="s">
        <v>576</v>
      </c>
      <c r="H192" s="5" t="s">
        <v>582</v>
      </c>
      <c r="I192" s="10" t="s">
        <v>583</v>
      </c>
      <c r="J192" s="7"/>
      <c r="K192" s="7" t="s">
        <v>44</v>
      </c>
      <c r="L192" s="5" t="str">
        <f>LEFT(K192,FIND( ",",K192)-1)</f>
        <v>Kamis</v>
      </c>
      <c r="M192" s="5" t="str">
        <f>MID(K192,FIND(",",K192)+2,LEN(K192))</f>
        <v>10:00 - 11:40</v>
      </c>
      <c r="N192" s="7" t="s">
        <v>578</v>
      </c>
    </row>
    <row r="193" spans="2:14" ht="30" hidden="1" customHeight="1" x14ac:dyDescent="0.3">
      <c r="B193" s="5">
        <v>37</v>
      </c>
      <c r="C193" s="5" t="s">
        <v>593</v>
      </c>
      <c r="D193" s="5">
        <v>40</v>
      </c>
      <c r="E193" s="5">
        <v>32</v>
      </c>
      <c r="F193" s="7" t="s">
        <v>409</v>
      </c>
      <c r="G193" s="7" t="s">
        <v>576</v>
      </c>
      <c r="H193" s="5" t="s">
        <v>410</v>
      </c>
      <c r="I193" s="10" t="s">
        <v>598</v>
      </c>
      <c r="J193" s="7" t="s">
        <v>509</v>
      </c>
      <c r="K193" s="7" t="s">
        <v>44</v>
      </c>
      <c r="L193" s="5" t="str">
        <f>LEFT(K193,FIND( ",",K193)-1)</f>
        <v>Kamis</v>
      </c>
      <c r="M193" s="5" t="str">
        <f>MID(K193,FIND(",",K193)+2,LEN(K193))</f>
        <v>10:00 - 11:40</v>
      </c>
      <c r="N193" s="7" t="s">
        <v>578</v>
      </c>
    </row>
    <row r="194" spans="2:14" ht="30" hidden="1" customHeight="1" x14ac:dyDescent="0.3">
      <c r="B194" s="2">
        <v>38</v>
      </c>
      <c r="C194" s="2" t="s">
        <v>600</v>
      </c>
      <c r="D194" s="2">
        <v>40</v>
      </c>
      <c r="E194" s="2">
        <v>8</v>
      </c>
      <c r="F194" s="1" t="s">
        <v>179</v>
      </c>
      <c r="G194" s="1" t="s">
        <v>576</v>
      </c>
      <c r="H194" s="2" t="s">
        <v>180</v>
      </c>
      <c r="I194" s="11" t="s">
        <v>608</v>
      </c>
      <c r="J194" s="1" t="s">
        <v>186</v>
      </c>
      <c r="K194" s="1" t="s">
        <v>44</v>
      </c>
      <c r="L194" s="2" t="str">
        <f>LEFT(K194,FIND( ",",K194)-1)</f>
        <v>Kamis</v>
      </c>
      <c r="M194" s="2" t="str">
        <f>MID(K194,FIND(",",K194)+2,LEN(K194))</f>
        <v>10:00 - 11:40</v>
      </c>
      <c r="N194" s="1" t="s">
        <v>578</v>
      </c>
    </row>
    <row r="195" spans="2:14" ht="30" customHeight="1" x14ac:dyDescent="0.3">
      <c r="B195" s="5">
        <v>25</v>
      </c>
      <c r="C195" s="5" t="s">
        <v>449</v>
      </c>
      <c r="D195" s="5">
        <v>80</v>
      </c>
      <c r="E195" s="5">
        <v>22</v>
      </c>
      <c r="F195" s="7" t="s">
        <v>264</v>
      </c>
      <c r="G195" s="7" t="s">
        <v>220</v>
      </c>
      <c r="H195" s="5" t="s">
        <v>265</v>
      </c>
      <c r="I195" s="10" t="s">
        <v>452</v>
      </c>
      <c r="J195" s="7" t="s">
        <v>382</v>
      </c>
      <c r="K195" s="7" t="s">
        <v>31</v>
      </c>
      <c r="L195" s="5" t="str">
        <f>LEFT(K195,FIND( ",",K195)-1)</f>
        <v>Rabu</v>
      </c>
      <c r="M195" s="5" t="str">
        <f>MID(K195,FIND(",",K195)+2,LEN(K195))</f>
        <v>10:00 - 11:40</v>
      </c>
      <c r="N195" s="7" t="s">
        <v>224</v>
      </c>
    </row>
    <row r="196" spans="2:14" ht="30" customHeight="1" x14ac:dyDescent="0.3">
      <c r="B196" s="5">
        <v>25</v>
      </c>
      <c r="C196" s="5" t="s">
        <v>449</v>
      </c>
      <c r="D196" s="5">
        <v>80</v>
      </c>
      <c r="E196" s="5">
        <v>22</v>
      </c>
      <c r="F196" s="7" t="s">
        <v>264</v>
      </c>
      <c r="G196" s="7" t="s">
        <v>220</v>
      </c>
      <c r="H196" s="5" t="s">
        <v>265</v>
      </c>
      <c r="I196" s="10" t="s">
        <v>452</v>
      </c>
      <c r="J196" s="7" t="s">
        <v>377</v>
      </c>
      <c r="K196" s="7" t="s">
        <v>31</v>
      </c>
      <c r="L196" s="5" t="str">
        <f>LEFT(K196,FIND( ",",K196)-1)</f>
        <v>Rabu</v>
      </c>
      <c r="M196" s="5" t="str">
        <f>MID(K196,FIND(",",K196)+2,LEN(K196))</f>
        <v>10:00 - 11:40</v>
      </c>
      <c r="N196" s="7" t="s">
        <v>224</v>
      </c>
    </row>
    <row r="197" spans="2:14" ht="30" customHeight="1" x14ac:dyDescent="0.3">
      <c r="B197" s="5">
        <v>25</v>
      </c>
      <c r="C197" s="5" t="s">
        <v>449</v>
      </c>
      <c r="D197" s="5">
        <v>80</v>
      </c>
      <c r="E197" s="5">
        <v>15</v>
      </c>
      <c r="F197" s="7" t="s">
        <v>453</v>
      </c>
      <c r="G197" s="7" t="s">
        <v>220</v>
      </c>
      <c r="H197" s="5" t="s">
        <v>454</v>
      </c>
      <c r="I197" s="10" t="s">
        <v>455</v>
      </c>
      <c r="J197" s="7" t="s">
        <v>456</v>
      </c>
      <c r="K197" s="7" t="s">
        <v>218</v>
      </c>
      <c r="L197" s="5" t="str">
        <f>LEFT(K197,FIND( ",",K197)-1)</f>
        <v>Rabu</v>
      </c>
      <c r="M197" s="5" t="str">
        <f>MID(K197,FIND(",",K197)+2,LEN(K197))</f>
        <v>14:00 - 14:50</v>
      </c>
      <c r="N197" s="7" t="s">
        <v>224</v>
      </c>
    </row>
    <row r="198" spans="2:14" ht="30" hidden="1" customHeight="1" x14ac:dyDescent="0.3">
      <c r="B198" s="5">
        <v>25</v>
      </c>
      <c r="C198" s="5" t="s">
        <v>449</v>
      </c>
      <c r="D198" s="5">
        <v>80</v>
      </c>
      <c r="E198" s="5">
        <v>50</v>
      </c>
      <c r="F198" s="7" t="s">
        <v>415</v>
      </c>
      <c r="G198" s="7" t="s">
        <v>220</v>
      </c>
      <c r="H198" s="5" t="s">
        <v>416</v>
      </c>
      <c r="I198" s="10" t="s">
        <v>457</v>
      </c>
      <c r="J198" s="7" t="s">
        <v>334</v>
      </c>
      <c r="K198" s="7" t="s">
        <v>37</v>
      </c>
      <c r="L198" s="5" t="str">
        <f>LEFT(K198,FIND( ",",K198)-1)</f>
        <v>Selasa</v>
      </c>
      <c r="M198" s="5" t="str">
        <f>MID(K198,FIND(",",K198)+2,LEN(K198))</f>
        <v>10:00 - 11:40</v>
      </c>
      <c r="N198" s="7" t="s">
        <v>224</v>
      </c>
    </row>
    <row r="199" spans="2:14" ht="30" hidden="1" customHeight="1" x14ac:dyDescent="0.3">
      <c r="B199" s="5">
        <v>25</v>
      </c>
      <c r="C199" s="5" t="s">
        <v>449</v>
      </c>
      <c r="D199" s="5">
        <v>80</v>
      </c>
      <c r="E199" s="5">
        <v>41</v>
      </c>
      <c r="F199" s="7" t="s">
        <v>415</v>
      </c>
      <c r="G199" s="7" t="s">
        <v>220</v>
      </c>
      <c r="H199" s="5" t="s">
        <v>416</v>
      </c>
      <c r="I199" s="10" t="s">
        <v>458</v>
      </c>
      <c r="J199" s="7" t="s">
        <v>334</v>
      </c>
      <c r="K199" s="7" t="s">
        <v>42</v>
      </c>
      <c r="L199" s="5" t="str">
        <f>LEFT(K199,FIND( ",",K199)-1)</f>
        <v>Selasa</v>
      </c>
      <c r="M199" s="5" t="str">
        <f>MID(K199,FIND(",",K199)+2,LEN(K199))</f>
        <v>13:00 - 14:40</v>
      </c>
      <c r="N199" s="7" t="s">
        <v>224</v>
      </c>
    </row>
    <row r="200" spans="2:14" ht="30" hidden="1" customHeight="1" x14ac:dyDescent="0.3">
      <c r="B200" s="5">
        <v>25</v>
      </c>
      <c r="C200" s="5" t="s">
        <v>449</v>
      </c>
      <c r="D200" s="5">
        <v>80</v>
      </c>
      <c r="E200" s="5">
        <v>0</v>
      </c>
      <c r="F200" s="7" t="s">
        <v>172</v>
      </c>
      <c r="G200" s="7" t="s">
        <v>220</v>
      </c>
      <c r="H200" s="5" t="s">
        <v>174</v>
      </c>
      <c r="I200" s="10" t="s">
        <v>450</v>
      </c>
      <c r="J200" s="7" t="s">
        <v>451</v>
      </c>
      <c r="K200" s="7" t="s">
        <v>5</v>
      </c>
      <c r="L200" s="5" t="str">
        <f>LEFT(K200,FIND( ",",K200)-1)</f>
        <v>Senin</v>
      </c>
      <c r="M200" s="5" t="str">
        <f>MID(K200,FIND(",",K200)+2,LEN(K200))</f>
        <v>08:00 - 09:40</v>
      </c>
      <c r="N200" s="7" t="s">
        <v>224</v>
      </c>
    </row>
    <row r="201" spans="2:14" ht="30" hidden="1" customHeight="1" x14ac:dyDescent="0.3">
      <c r="B201" s="5">
        <v>25</v>
      </c>
      <c r="C201" s="5" t="s">
        <v>449</v>
      </c>
      <c r="D201" s="5">
        <v>80</v>
      </c>
      <c r="E201" s="5">
        <v>22</v>
      </c>
      <c r="F201" s="7" t="s">
        <v>264</v>
      </c>
      <c r="G201" s="7" t="s">
        <v>220</v>
      </c>
      <c r="H201" s="5" t="s">
        <v>265</v>
      </c>
      <c r="I201" s="10" t="s">
        <v>452</v>
      </c>
      <c r="J201" s="7" t="s">
        <v>377</v>
      </c>
      <c r="K201" s="7" t="s">
        <v>12</v>
      </c>
      <c r="L201" s="5" t="str">
        <f>LEFT(K201,FIND( ",",K201)-1)</f>
        <v>Senin</v>
      </c>
      <c r="M201" s="5" t="str">
        <f>MID(K201,FIND(",",K201)+2,LEN(K201))</f>
        <v>10:00 - 11:40</v>
      </c>
      <c r="N201" s="7" t="s">
        <v>224</v>
      </c>
    </row>
    <row r="202" spans="2:14" ht="30" hidden="1" customHeight="1" x14ac:dyDescent="0.3">
      <c r="B202" s="5">
        <v>25</v>
      </c>
      <c r="C202" s="5" t="s">
        <v>449</v>
      </c>
      <c r="D202" s="5">
        <v>80</v>
      </c>
      <c r="E202" s="5">
        <v>22</v>
      </c>
      <c r="F202" s="7" t="s">
        <v>264</v>
      </c>
      <c r="G202" s="7" t="s">
        <v>220</v>
      </c>
      <c r="H202" s="5" t="s">
        <v>265</v>
      </c>
      <c r="I202" s="10" t="s">
        <v>452</v>
      </c>
      <c r="J202" s="7" t="s">
        <v>382</v>
      </c>
      <c r="K202" s="7" t="s">
        <v>12</v>
      </c>
      <c r="L202" s="5" t="str">
        <f>LEFT(K202,FIND( ",",K202)-1)</f>
        <v>Senin</v>
      </c>
      <c r="M202" s="5" t="str">
        <f>MID(K202,FIND(",",K202)+2,LEN(K202))</f>
        <v>10:00 - 11:40</v>
      </c>
      <c r="N202" s="7" t="s">
        <v>224</v>
      </c>
    </row>
    <row r="203" spans="2:14" ht="30" hidden="1" customHeight="1" x14ac:dyDescent="0.3">
      <c r="B203" s="5">
        <v>25</v>
      </c>
      <c r="C203" s="5" t="s">
        <v>449</v>
      </c>
      <c r="D203" s="5">
        <v>80</v>
      </c>
      <c r="E203" s="5">
        <v>15</v>
      </c>
      <c r="F203" s="7" t="s">
        <v>453</v>
      </c>
      <c r="G203" s="7" t="s">
        <v>220</v>
      </c>
      <c r="H203" s="5" t="s">
        <v>454</v>
      </c>
      <c r="I203" s="10" t="s">
        <v>455</v>
      </c>
      <c r="J203" s="7" t="s">
        <v>456</v>
      </c>
      <c r="K203" s="7" t="s">
        <v>19</v>
      </c>
      <c r="L203" s="5" t="str">
        <f>LEFT(K203,FIND( ",",K203)-1)</f>
        <v>Senin</v>
      </c>
      <c r="M203" s="5" t="str">
        <f>MID(K203,FIND(",",K203)+2,LEN(K203))</f>
        <v>13:00 - 14:40</v>
      </c>
      <c r="N203" s="7" t="s">
        <v>224</v>
      </c>
    </row>
    <row r="204" spans="2:14" ht="30" hidden="1" customHeight="1" x14ac:dyDescent="0.3">
      <c r="B204" s="2">
        <v>26</v>
      </c>
      <c r="C204" s="2" t="s">
        <v>460</v>
      </c>
      <c r="D204" s="2">
        <v>100</v>
      </c>
      <c r="E204" s="2">
        <v>46</v>
      </c>
      <c r="F204" s="1" t="s">
        <v>415</v>
      </c>
      <c r="G204" s="1" t="s">
        <v>220</v>
      </c>
      <c r="H204" s="2" t="s">
        <v>416</v>
      </c>
      <c r="I204" s="11" t="s">
        <v>464</v>
      </c>
      <c r="J204" s="1" t="s">
        <v>465</v>
      </c>
      <c r="K204" s="1" t="s">
        <v>285</v>
      </c>
      <c r="L204" s="2" t="str">
        <f>LEFT(K204,FIND( ",",K204)-1)</f>
        <v>Jumat</v>
      </c>
      <c r="M204" s="2" t="str">
        <f>MID(K204,FIND(",",K204)+2,LEN(K204))</f>
        <v>08:00 - 08:50</v>
      </c>
      <c r="N204" s="1" t="s">
        <v>224</v>
      </c>
    </row>
    <row r="205" spans="2:14" ht="30" hidden="1" customHeight="1" x14ac:dyDescent="0.3">
      <c r="B205" s="2">
        <v>14</v>
      </c>
      <c r="C205" s="2" t="s">
        <v>236</v>
      </c>
      <c r="D205" s="2">
        <v>70</v>
      </c>
      <c r="E205" s="2">
        <v>43</v>
      </c>
      <c r="F205" s="1" t="s">
        <v>251</v>
      </c>
      <c r="G205" s="1" t="s">
        <v>220</v>
      </c>
      <c r="H205" s="2" t="s">
        <v>252</v>
      </c>
      <c r="I205" s="11" t="s">
        <v>256</v>
      </c>
      <c r="J205" s="1" t="s">
        <v>255</v>
      </c>
      <c r="K205" s="1" t="s">
        <v>262</v>
      </c>
      <c r="L205" s="2" t="str">
        <f>LEFT(K205,FIND( ",",K205)-1)</f>
        <v>Kamis</v>
      </c>
      <c r="M205" s="2" t="str">
        <f>MID(K205,FIND(",",K205)+2,LEN(K205))</f>
        <v>11:00 - 11:50</v>
      </c>
      <c r="N205" s="1" t="s">
        <v>224</v>
      </c>
    </row>
    <row r="206" spans="2:14" ht="30" hidden="1" customHeight="1" x14ac:dyDescent="0.3">
      <c r="B206" s="5">
        <v>17</v>
      </c>
      <c r="C206" s="5" t="s">
        <v>292</v>
      </c>
      <c r="D206" s="5">
        <v>70</v>
      </c>
      <c r="E206" s="5">
        <v>4</v>
      </c>
      <c r="F206" s="7" t="s">
        <v>306</v>
      </c>
      <c r="G206" s="7" t="s">
        <v>173</v>
      </c>
      <c r="H206" s="5" t="s">
        <v>307</v>
      </c>
      <c r="I206" s="10" t="s">
        <v>308</v>
      </c>
      <c r="J206" s="7" t="s">
        <v>41</v>
      </c>
      <c r="K206" s="7" t="s">
        <v>262</v>
      </c>
      <c r="L206" s="5" t="str">
        <f>LEFT(K206,FIND( ",",K206)-1)</f>
        <v>Kamis</v>
      </c>
      <c r="M206" s="5" t="str">
        <f>MID(K206,FIND(",",K206)+2,LEN(K206))</f>
        <v>11:00 - 11:50</v>
      </c>
      <c r="N206" s="7" t="s">
        <v>177</v>
      </c>
    </row>
    <row r="207" spans="2:14" ht="30" hidden="1" customHeight="1" x14ac:dyDescent="0.3">
      <c r="B207" s="5">
        <v>21</v>
      </c>
      <c r="C207" s="5" t="s">
        <v>390</v>
      </c>
      <c r="D207" s="5">
        <v>75</v>
      </c>
      <c r="E207" s="5">
        <v>47</v>
      </c>
      <c r="F207" s="7" t="s">
        <v>251</v>
      </c>
      <c r="G207" s="7" t="s">
        <v>220</v>
      </c>
      <c r="H207" s="5" t="s">
        <v>252</v>
      </c>
      <c r="I207" s="10" t="s">
        <v>402</v>
      </c>
      <c r="J207" s="7" t="s">
        <v>351</v>
      </c>
      <c r="K207" s="7" t="s">
        <v>262</v>
      </c>
      <c r="L207" s="5" t="str">
        <f>LEFT(K207,FIND( ",",K207)-1)</f>
        <v>Kamis</v>
      </c>
      <c r="M207" s="5" t="str">
        <f>MID(K207,FIND(",",K207)+2,LEN(K207))</f>
        <v>11:00 - 11:50</v>
      </c>
      <c r="N207" s="7" t="s">
        <v>224</v>
      </c>
    </row>
    <row r="208" spans="2:14" ht="30" hidden="1" customHeight="1" x14ac:dyDescent="0.3">
      <c r="B208" s="2">
        <v>22</v>
      </c>
      <c r="C208" s="2" t="s">
        <v>405</v>
      </c>
      <c r="D208" s="2">
        <v>92</v>
      </c>
      <c r="E208" s="2">
        <v>43</v>
      </c>
      <c r="F208" s="1" t="s">
        <v>415</v>
      </c>
      <c r="G208" s="1" t="s">
        <v>220</v>
      </c>
      <c r="H208" s="2" t="s">
        <v>416</v>
      </c>
      <c r="I208" s="11" t="s">
        <v>419</v>
      </c>
      <c r="J208" s="1" t="s">
        <v>418</v>
      </c>
      <c r="K208" s="1" t="s">
        <v>262</v>
      </c>
      <c r="L208" s="2" t="str">
        <f>LEFT(K208,FIND( ",",K208)-1)</f>
        <v>Kamis</v>
      </c>
      <c r="M208" s="2" t="str">
        <f>MID(K208,FIND(",",K208)+2,LEN(K208))</f>
        <v>11:00 - 11:50</v>
      </c>
      <c r="N208" s="1" t="s">
        <v>224</v>
      </c>
    </row>
    <row r="209" spans="2:14" ht="30" customHeight="1" x14ac:dyDescent="0.3">
      <c r="B209" s="2">
        <v>26</v>
      </c>
      <c r="C209" s="2" t="s">
        <v>460</v>
      </c>
      <c r="D209" s="2">
        <v>100</v>
      </c>
      <c r="E209" s="2">
        <v>14</v>
      </c>
      <c r="F209" s="1" t="s">
        <v>264</v>
      </c>
      <c r="G209" s="1" t="s">
        <v>220</v>
      </c>
      <c r="H209" s="2" t="s">
        <v>265</v>
      </c>
      <c r="I209" s="11" t="s">
        <v>461</v>
      </c>
      <c r="J209" s="1" t="s">
        <v>462</v>
      </c>
      <c r="K209" s="1" t="s">
        <v>31</v>
      </c>
      <c r="L209" s="2" t="str">
        <f>LEFT(K209,FIND( ",",K209)-1)</f>
        <v>Rabu</v>
      </c>
      <c r="M209" s="2" t="str">
        <f>MID(K209,FIND(",",K209)+2,LEN(K209))</f>
        <v>10:00 - 11:40</v>
      </c>
      <c r="N209" s="1" t="s">
        <v>224</v>
      </c>
    </row>
    <row r="210" spans="2:14" ht="30" customHeight="1" x14ac:dyDescent="0.3">
      <c r="B210" s="2">
        <v>26</v>
      </c>
      <c r="C210" s="2" t="s">
        <v>460</v>
      </c>
      <c r="D210" s="2">
        <v>100</v>
      </c>
      <c r="E210" s="2">
        <v>14</v>
      </c>
      <c r="F210" s="1" t="s">
        <v>264</v>
      </c>
      <c r="G210" s="1" t="s">
        <v>220</v>
      </c>
      <c r="H210" s="2" t="s">
        <v>265</v>
      </c>
      <c r="I210" s="11" t="s">
        <v>461</v>
      </c>
      <c r="J210" s="1" t="s">
        <v>137</v>
      </c>
      <c r="K210" s="1" t="s">
        <v>31</v>
      </c>
      <c r="L210" s="2" t="str">
        <f>LEFT(K210,FIND( ",",K210)-1)</f>
        <v>Rabu</v>
      </c>
      <c r="M210" s="2" t="str">
        <f>MID(K210,FIND(",",K210)+2,LEN(K210))</f>
        <v>10:00 - 11:40</v>
      </c>
      <c r="N210" s="1" t="s">
        <v>224</v>
      </c>
    </row>
    <row r="211" spans="2:14" ht="30" customHeight="1" x14ac:dyDescent="0.3">
      <c r="B211" s="2">
        <v>26</v>
      </c>
      <c r="C211" s="2" t="s">
        <v>460</v>
      </c>
      <c r="D211" s="2">
        <v>100</v>
      </c>
      <c r="E211" s="2">
        <v>19</v>
      </c>
      <c r="F211" s="1" t="s">
        <v>445</v>
      </c>
      <c r="G211" s="1" t="s">
        <v>220</v>
      </c>
      <c r="H211" s="2" t="s">
        <v>446</v>
      </c>
      <c r="I211" s="11" t="s">
        <v>463</v>
      </c>
      <c r="J211" s="1" t="s">
        <v>400</v>
      </c>
      <c r="K211" s="1" t="s">
        <v>218</v>
      </c>
      <c r="L211" s="2" t="str">
        <f>LEFT(K211,FIND( ",",K211)-1)</f>
        <v>Rabu</v>
      </c>
      <c r="M211" s="2" t="str">
        <f>MID(K211,FIND(",",K211)+2,LEN(K211))</f>
        <v>14:00 - 14:50</v>
      </c>
      <c r="N211" s="1" t="s">
        <v>224</v>
      </c>
    </row>
    <row r="212" spans="2:14" ht="30" customHeight="1" x14ac:dyDescent="0.3">
      <c r="B212" s="2">
        <v>26</v>
      </c>
      <c r="C212" s="2" t="s">
        <v>460</v>
      </c>
      <c r="D212" s="2">
        <v>100</v>
      </c>
      <c r="E212" s="2">
        <v>19</v>
      </c>
      <c r="F212" s="1" t="s">
        <v>445</v>
      </c>
      <c r="G212" s="1" t="s">
        <v>220</v>
      </c>
      <c r="H212" s="2" t="s">
        <v>446</v>
      </c>
      <c r="I212" s="11" t="s">
        <v>463</v>
      </c>
      <c r="J212" s="1" t="s">
        <v>56</v>
      </c>
      <c r="K212" s="1" t="s">
        <v>218</v>
      </c>
      <c r="L212" s="2" t="str">
        <f>LEFT(K212,FIND( ",",K212)-1)</f>
        <v>Rabu</v>
      </c>
      <c r="M212" s="2" t="str">
        <f>MID(K212,FIND(",",K212)+2,LEN(K212))</f>
        <v>14:00 - 14:50</v>
      </c>
      <c r="N212" s="1" t="s">
        <v>224</v>
      </c>
    </row>
    <row r="213" spans="2:14" ht="30" hidden="1" customHeight="1" x14ac:dyDescent="0.3">
      <c r="B213" s="2">
        <v>26</v>
      </c>
      <c r="C213" s="2" t="s">
        <v>460</v>
      </c>
      <c r="D213" s="2">
        <v>100</v>
      </c>
      <c r="E213" s="2">
        <v>46</v>
      </c>
      <c r="F213" s="1" t="s">
        <v>415</v>
      </c>
      <c r="G213" s="1" t="s">
        <v>220</v>
      </c>
      <c r="H213" s="2" t="s">
        <v>416</v>
      </c>
      <c r="I213" s="11" t="s">
        <v>464</v>
      </c>
      <c r="J213" s="1" t="s">
        <v>465</v>
      </c>
      <c r="K213" s="1" t="s">
        <v>37</v>
      </c>
      <c r="L213" s="2" t="str">
        <f>LEFT(K213,FIND( ",",K213)-1)</f>
        <v>Selasa</v>
      </c>
      <c r="M213" s="2" t="str">
        <f>MID(K213,FIND(",",K213)+2,LEN(K213))</f>
        <v>10:00 - 11:40</v>
      </c>
      <c r="N213" s="1" t="s">
        <v>224</v>
      </c>
    </row>
    <row r="214" spans="2:14" ht="30" hidden="1" customHeight="1" x14ac:dyDescent="0.3">
      <c r="B214" s="2">
        <v>26</v>
      </c>
      <c r="C214" s="2" t="s">
        <v>460</v>
      </c>
      <c r="D214" s="2">
        <v>100</v>
      </c>
      <c r="E214" s="2">
        <v>40</v>
      </c>
      <c r="F214" s="1" t="s">
        <v>415</v>
      </c>
      <c r="G214" s="1" t="s">
        <v>220</v>
      </c>
      <c r="H214" s="2" t="s">
        <v>416</v>
      </c>
      <c r="I214" s="11" t="s">
        <v>466</v>
      </c>
      <c r="J214" s="1" t="s">
        <v>465</v>
      </c>
      <c r="K214" s="1" t="s">
        <v>42</v>
      </c>
      <c r="L214" s="2" t="str">
        <f>LEFT(K214,FIND( ",",K214)-1)</f>
        <v>Selasa</v>
      </c>
      <c r="M214" s="2" t="str">
        <f>MID(K214,FIND(",",K214)+2,LEN(K214))</f>
        <v>13:00 - 14:40</v>
      </c>
      <c r="N214" s="1" t="s">
        <v>224</v>
      </c>
    </row>
    <row r="215" spans="2:14" ht="30" hidden="1" customHeight="1" x14ac:dyDescent="0.3">
      <c r="B215" s="2">
        <v>26</v>
      </c>
      <c r="C215" s="2" t="s">
        <v>460</v>
      </c>
      <c r="D215" s="2">
        <v>100</v>
      </c>
      <c r="E215" s="2">
        <v>14</v>
      </c>
      <c r="F215" s="1" t="s">
        <v>264</v>
      </c>
      <c r="G215" s="1" t="s">
        <v>220</v>
      </c>
      <c r="H215" s="2" t="s">
        <v>265</v>
      </c>
      <c r="I215" s="11" t="s">
        <v>461</v>
      </c>
      <c r="J215" s="1" t="s">
        <v>137</v>
      </c>
      <c r="K215" s="1" t="s">
        <v>12</v>
      </c>
      <c r="L215" s="2" t="str">
        <f>LEFT(K215,FIND( ",",K215)-1)</f>
        <v>Senin</v>
      </c>
      <c r="M215" s="2" t="str">
        <f>MID(K215,FIND(",",K215)+2,LEN(K215))</f>
        <v>10:00 - 11:40</v>
      </c>
      <c r="N215" s="1" t="s">
        <v>224</v>
      </c>
    </row>
    <row r="216" spans="2:14" ht="30" hidden="1" customHeight="1" x14ac:dyDescent="0.3">
      <c r="B216" s="2">
        <v>26</v>
      </c>
      <c r="C216" s="2" t="s">
        <v>460</v>
      </c>
      <c r="D216" s="2">
        <v>100</v>
      </c>
      <c r="E216" s="2">
        <v>14</v>
      </c>
      <c r="F216" s="1" t="s">
        <v>264</v>
      </c>
      <c r="G216" s="1" t="s">
        <v>220</v>
      </c>
      <c r="H216" s="2" t="s">
        <v>265</v>
      </c>
      <c r="I216" s="11" t="s">
        <v>461</v>
      </c>
      <c r="J216" s="1" t="s">
        <v>462</v>
      </c>
      <c r="K216" s="1" t="s">
        <v>12</v>
      </c>
      <c r="L216" s="2" t="str">
        <f>LEFT(K216,FIND( ",",K216)-1)</f>
        <v>Senin</v>
      </c>
      <c r="M216" s="2" t="str">
        <f>MID(K216,FIND(",",K216)+2,LEN(K216))</f>
        <v>10:00 - 11:40</v>
      </c>
      <c r="N216" s="1" t="s">
        <v>224</v>
      </c>
    </row>
    <row r="217" spans="2:14" ht="30" hidden="1" customHeight="1" x14ac:dyDescent="0.3">
      <c r="B217" s="2">
        <v>26</v>
      </c>
      <c r="C217" s="2" t="s">
        <v>460</v>
      </c>
      <c r="D217" s="2">
        <v>100</v>
      </c>
      <c r="E217" s="2">
        <v>19</v>
      </c>
      <c r="F217" s="1" t="s">
        <v>445</v>
      </c>
      <c r="G217" s="1" t="s">
        <v>220</v>
      </c>
      <c r="H217" s="2" t="s">
        <v>446</v>
      </c>
      <c r="I217" s="11" t="s">
        <v>463</v>
      </c>
      <c r="J217" s="1" t="s">
        <v>56</v>
      </c>
      <c r="K217" s="1" t="s">
        <v>19</v>
      </c>
      <c r="L217" s="2" t="str">
        <f>LEFT(K217,FIND( ",",K217)-1)</f>
        <v>Senin</v>
      </c>
      <c r="M217" s="2" t="str">
        <f>MID(K217,FIND(",",K217)+2,LEN(K217))</f>
        <v>13:00 - 14:40</v>
      </c>
      <c r="N217" s="1" t="s">
        <v>224</v>
      </c>
    </row>
    <row r="218" spans="2:14" ht="30" hidden="1" customHeight="1" x14ac:dyDescent="0.3">
      <c r="B218" s="2">
        <v>26</v>
      </c>
      <c r="C218" s="2" t="s">
        <v>460</v>
      </c>
      <c r="D218" s="2">
        <v>100</v>
      </c>
      <c r="E218" s="2">
        <v>19</v>
      </c>
      <c r="F218" s="1" t="s">
        <v>445</v>
      </c>
      <c r="G218" s="1" t="s">
        <v>220</v>
      </c>
      <c r="H218" s="2" t="s">
        <v>446</v>
      </c>
      <c r="I218" s="11" t="s">
        <v>463</v>
      </c>
      <c r="J218" s="1" t="s">
        <v>400</v>
      </c>
      <c r="K218" s="1" t="s">
        <v>19</v>
      </c>
      <c r="L218" s="2" t="str">
        <f>LEFT(K218,FIND( ",",K218)-1)</f>
        <v>Senin</v>
      </c>
      <c r="M218" s="2" t="str">
        <f>MID(K218,FIND(",",K218)+2,LEN(K218))</f>
        <v>13:00 - 14:40</v>
      </c>
      <c r="N218" s="1" t="s">
        <v>224</v>
      </c>
    </row>
    <row r="219" spans="2:14" ht="30" hidden="1" customHeight="1" x14ac:dyDescent="0.3">
      <c r="B219" s="5">
        <v>27</v>
      </c>
      <c r="C219" s="5" t="s">
        <v>467</v>
      </c>
      <c r="D219" s="5">
        <v>100</v>
      </c>
      <c r="E219" s="5">
        <v>43</v>
      </c>
      <c r="F219" s="7" t="s">
        <v>415</v>
      </c>
      <c r="G219" s="7" t="s">
        <v>220</v>
      </c>
      <c r="H219" s="5" t="s">
        <v>416</v>
      </c>
      <c r="I219" s="10" t="s">
        <v>419</v>
      </c>
      <c r="J219" s="7" t="s">
        <v>418</v>
      </c>
      <c r="K219" s="7" t="s">
        <v>285</v>
      </c>
      <c r="L219" s="5" t="str">
        <f>LEFT(K219,FIND( ",",K219)-1)</f>
        <v>Jumat</v>
      </c>
      <c r="M219" s="5" t="str">
        <f>MID(K219,FIND(",",K219)+2,LEN(K219))</f>
        <v>08:00 - 08:50</v>
      </c>
      <c r="N219" s="7" t="s">
        <v>224</v>
      </c>
    </row>
    <row r="220" spans="2:14" ht="30" hidden="1" customHeight="1" x14ac:dyDescent="0.3">
      <c r="B220" s="5">
        <v>23</v>
      </c>
      <c r="C220" s="5" t="s">
        <v>420</v>
      </c>
      <c r="D220" s="5">
        <v>80</v>
      </c>
      <c r="E220" s="5">
        <v>58</v>
      </c>
      <c r="F220" s="7" t="s">
        <v>251</v>
      </c>
      <c r="G220" s="7" t="s">
        <v>220</v>
      </c>
      <c r="H220" s="5" t="s">
        <v>252</v>
      </c>
      <c r="I220" s="10" t="s">
        <v>426</v>
      </c>
      <c r="J220" s="7" t="s">
        <v>369</v>
      </c>
      <c r="K220" s="7" t="s">
        <v>262</v>
      </c>
      <c r="L220" s="5" t="str">
        <f>LEFT(K220,FIND( ",",K220)-1)</f>
        <v>Kamis</v>
      </c>
      <c r="M220" s="5" t="str">
        <f>MID(K220,FIND(",",K220)+2,LEN(K220))</f>
        <v>11:00 - 11:50</v>
      </c>
      <c r="N220" s="7" t="s">
        <v>224</v>
      </c>
    </row>
    <row r="221" spans="2:14" ht="30" hidden="1" customHeight="1" x14ac:dyDescent="0.3">
      <c r="B221" s="2">
        <v>24</v>
      </c>
      <c r="C221" s="2" t="s">
        <v>436</v>
      </c>
      <c r="D221" s="2">
        <v>100</v>
      </c>
      <c r="E221" s="2">
        <v>43</v>
      </c>
      <c r="F221" s="1" t="s">
        <v>415</v>
      </c>
      <c r="G221" s="1" t="s">
        <v>220</v>
      </c>
      <c r="H221" s="2" t="s">
        <v>416</v>
      </c>
      <c r="I221" s="11" t="s">
        <v>443</v>
      </c>
      <c r="J221" s="1" t="s">
        <v>243</v>
      </c>
      <c r="K221" s="1" t="s">
        <v>262</v>
      </c>
      <c r="L221" s="2" t="str">
        <f>LEFT(K221,FIND( ",",K221)-1)</f>
        <v>Kamis</v>
      </c>
      <c r="M221" s="2" t="str">
        <f>MID(K221,FIND(",",K221)+2,LEN(K221))</f>
        <v>11:00 - 11:50</v>
      </c>
      <c r="N221" s="1" t="s">
        <v>224</v>
      </c>
    </row>
    <row r="222" spans="2:14" ht="30" hidden="1" customHeight="1" x14ac:dyDescent="0.3">
      <c r="B222" s="5">
        <v>25</v>
      </c>
      <c r="C222" s="5" t="s">
        <v>449</v>
      </c>
      <c r="D222" s="5">
        <v>80</v>
      </c>
      <c r="E222" s="5">
        <v>41</v>
      </c>
      <c r="F222" s="7" t="s">
        <v>415</v>
      </c>
      <c r="G222" s="7" t="s">
        <v>220</v>
      </c>
      <c r="H222" s="5" t="s">
        <v>416</v>
      </c>
      <c r="I222" s="10" t="s">
        <v>458</v>
      </c>
      <c r="J222" s="7" t="s">
        <v>334</v>
      </c>
      <c r="K222" s="7" t="s">
        <v>262</v>
      </c>
      <c r="L222" s="5" t="str">
        <f>LEFT(K222,FIND( ",",K222)-1)</f>
        <v>Kamis</v>
      </c>
      <c r="M222" s="5" t="str">
        <f>MID(K222,FIND(",",K222)+2,LEN(K222))</f>
        <v>11:00 - 11:50</v>
      </c>
      <c r="N222" s="7" t="s">
        <v>224</v>
      </c>
    </row>
    <row r="223" spans="2:14" ht="30" hidden="1" customHeight="1" x14ac:dyDescent="0.3">
      <c r="B223" s="2">
        <v>26</v>
      </c>
      <c r="C223" s="2" t="s">
        <v>460</v>
      </c>
      <c r="D223" s="2">
        <v>100</v>
      </c>
      <c r="E223" s="2">
        <v>40</v>
      </c>
      <c r="F223" s="1" t="s">
        <v>415</v>
      </c>
      <c r="G223" s="1" t="s">
        <v>220</v>
      </c>
      <c r="H223" s="2" t="s">
        <v>416</v>
      </c>
      <c r="I223" s="11" t="s">
        <v>466</v>
      </c>
      <c r="J223" s="1" t="s">
        <v>465</v>
      </c>
      <c r="K223" s="1" t="s">
        <v>262</v>
      </c>
      <c r="L223" s="2" t="str">
        <f>LEFT(K223,FIND( ",",K223)-1)</f>
        <v>Kamis</v>
      </c>
      <c r="M223" s="2" t="str">
        <f>MID(K223,FIND(",",K223)+2,LEN(K223))</f>
        <v>11:00 - 11:50</v>
      </c>
      <c r="N223" s="1" t="s">
        <v>224</v>
      </c>
    </row>
    <row r="224" spans="2:14" ht="30" customHeight="1" x14ac:dyDescent="0.3">
      <c r="B224" s="5">
        <v>27</v>
      </c>
      <c r="C224" s="5" t="s">
        <v>467</v>
      </c>
      <c r="D224" s="5">
        <v>100</v>
      </c>
      <c r="E224" s="5">
        <v>39</v>
      </c>
      <c r="F224" s="7" t="s">
        <v>297</v>
      </c>
      <c r="G224" s="7" t="s">
        <v>220</v>
      </c>
      <c r="H224" s="5" t="s">
        <v>298</v>
      </c>
      <c r="I224" s="10" t="s">
        <v>470</v>
      </c>
      <c r="J224" s="7" t="s">
        <v>472</v>
      </c>
      <c r="K224" s="7" t="s">
        <v>31</v>
      </c>
      <c r="L224" s="5" t="str">
        <f>LEFT(K224,FIND( ",",K224)-1)</f>
        <v>Rabu</v>
      </c>
      <c r="M224" s="5" t="str">
        <f>MID(K224,FIND(",",K224)+2,LEN(K224))</f>
        <v>10:00 - 11:40</v>
      </c>
      <c r="N224" s="7" t="s">
        <v>224</v>
      </c>
    </row>
    <row r="225" spans="2:14" ht="30" customHeight="1" x14ac:dyDescent="0.3">
      <c r="B225" s="5">
        <v>27</v>
      </c>
      <c r="C225" s="5" t="s">
        <v>467</v>
      </c>
      <c r="D225" s="5">
        <v>100</v>
      </c>
      <c r="E225" s="5">
        <v>39</v>
      </c>
      <c r="F225" s="7" t="s">
        <v>297</v>
      </c>
      <c r="G225" s="7" t="s">
        <v>220</v>
      </c>
      <c r="H225" s="5" t="s">
        <v>298</v>
      </c>
      <c r="I225" s="10" t="s">
        <v>470</v>
      </c>
      <c r="J225" s="7" t="s">
        <v>471</v>
      </c>
      <c r="K225" s="7" t="s">
        <v>31</v>
      </c>
      <c r="L225" s="5" t="str">
        <f>LEFT(K225,FIND( ",",K225)-1)</f>
        <v>Rabu</v>
      </c>
      <c r="M225" s="5" t="str">
        <f>MID(K225,FIND(",",K225)+2,LEN(K225))</f>
        <v>10:00 - 11:40</v>
      </c>
      <c r="N225" s="7" t="s">
        <v>224</v>
      </c>
    </row>
    <row r="226" spans="2:14" ht="30" customHeight="1" x14ac:dyDescent="0.3">
      <c r="B226" s="5">
        <v>27</v>
      </c>
      <c r="C226" s="5" t="s">
        <v>467</v>
      </c>
      <c r="D226" s="5">
        <v>100</v>
      </c>
      <c r="E226" s="5">
        <v>60</v>
      </c>
      <c r="F226" s="7" t="s">
        <v>297</v>
      </c>
      <c r="G226" s="7" t="s">
        <v>220</v>
      </c>
      <c r="H226" s="5" t="s">
        <v>298</v>
      </c>
      <c r="I226" s="10" t="s">
        <v>473</v>
      </c>
      <c r="J226" s="7" t="s">
        <v>474</v>
      </c>
      <c r="K226" s="7" t="s">
        <v>196</v>
      </c>
      <c r="L226" s="5" t="str">
        <f>LEFT(K226,FIND( ",",K226)-1)</f>
        <v>Rabu</v>
      </c>
      <c r="M226" s="5" t="str">
        <f>MID(K226,FIND(",",K226)+2,LEN(K226))</f>
        <v>14:00 - 15:40</v>
      </c>
      <c r="N226" s="7" t="s">
        <v>224</v>
      </c>
    </row>
    <row r="227" spans="2:14" ht="30" customHeight="1" x14ac:dyDescent="0.3">
      <c r="B227" s="5">
        <v>27</v>
      </c>
      <c r="C227" s="5" t="s">
        <v>467</v>
      </c>
      <c r="D227" s="5">
        <v>100</v>
      </c>
      <c r="E227" s="5">
        <v>60</v>
      </c>
      <c r="F227" s="7" t="s">
        <v>297</v>
      </c>
      <c r="G227" s="7" t="s">
        <v>220</v>
      </c>
      <c r="H227" s="5" t="s">
        <v>298</v>
      </c>
      <c r="I227" s="10" t="s">
        <v>473</v>
      </c>
      <c r="J227" s="7" t="s">
        <v>229</v>
      </c>
      <c r="K227" s="7" t="s">
        <v>196</v>
      </c>
      <c r="L227" s="5" t="str">
        <f>LEFT(K227,FIND( ",",K227)-1)</f>
        <v>Rabu</v>
      </c>
      <c r="M227" s="5" t="str">
        <f>MID(K227,FIND(",",K227)+2,LEN(K227))</f>
        <v>14:00 - 15:40</v>
      </c>
      <c r="N227" s="7" t="s">
        <v>224</v>
      </c>
    </row>
    <row r="228" spans="2:14" ht="30" hidden="1" customHeight="1" x14ac:dyDescent="0.3">
      <c r="B228" s="5">
        <v>27</v>
      </c>
      <c r="C228" s="5" t="s">
        <v>467</v>
      </c>
      <c r="D228" s="5">
        <v>100</v>
      </c>
      <c r="E228" s="5">
        <v>10</v>
      </c>
      <c r="F228" s="7" t="s">
        <v>379</v>
      </c>
      <c r="G228" s="7" t="s">
        <v>220</v>
      </c>
      <c r="H228" s="5" t="s">
        <v>380</v>
      </c>
      <c r="I228" s="10" t="s">
        <v>475</v>
      </c>
      <c r="J228" s="7" t="s">
        <v>428</v>
      </c>
      <c r="K228" s="7" t="s">
        <v>29</v>
      </c>
      <c r="L228" s="5" t="str">
        <f>LEFT(K228,FIND( ",",K228)-1)</f>
        <v>Selasa</v>
      </c>
      <c r="M228" s="5" t="str">
        <f>MID(K228,FIND(",",K228)+2,LEN(K228))</f>
        <v>08:00 - 09:40</v>
      </c>
      <c r="N228" s="7" t="s">
        <v>224</v>
      </c>
    </row>
    <row r="229" spans="2:14" ht="30" hidden="1" customHeight="1" x14ac:dyDescent="0.3">
      <c r="B229" s="5">
        <v>27</v>
      </c>
      <c r="C229" s="5" t="s">
        <v>467</v>
      </c>
      <c r="D229" s="5">
        <v>100</v>
      </c>
      <c r="E229" s="5">
        <v>12</v>
      </c>
      <c r="F229" s="7" t="s">
        <v>379</v>
      </c>
      <c r="G229" s="7" t="s">
        <v>220</v>
      </c>
      <c r="H229" s="5" t="s">
        <v>380</v>
      </c>
      <c r="I229" s="10" t="s">
        <v>476</v>
      </c>
      <c r="J229" s="7" t="s">
        <v>283</v>
      </c>
      <c r="K229" s="7" t="s">
        <v>37</v>
      </c>
      <c r="L229" s="5" t="str">
        <f>LEFT(K229,FIND( ",",K229)-1)</f>
        <v>Selasa</v>
      </c>
      <c r="M229" s="5" t="str">
        <f>MID(K229,FIND(",",K229)+2,LEN(K229))</f>
        <v>10:00 - 11:40</v>
      </c>
      <c r="N229" s="7" t="s">
        <v>224</v>
      </c>
    </row>
    <row r="230" spans="2:14" ht="30" hidden="1" customHeight="1" x14ac:dyDescent="0.3">
      <c r="B230" s="5">
        <v>27</v>
      </c>
      <c r="C230" s="5" t="s">
        <v>467</v>
      </c>
      <c r="D230" s="5">
        <v>100</v>
      </c>
      <c r="E230" s="5">
        <v>2</v>
      </c>
      <c r="F230" s="7" t="s">
        <v>477</v>
      </c>
      <c r="G230" s="7" t="s">
        <v>220</v>
      </c>
      <c r="H230" s="5" t="s">
        <v>478</v>
      </c>
      <c r="I230" s="10" t="s">
        <v>479</v>
      </c>
      <c r="J230" s="7" t="s">
        <v>247</v>
      </c>
      <c r="K230" s="7" t="s">
        <v>480</v>
      </c>
      <c r="L230" s="5" t="str">
        <f>LEFT(K230,FIND( ",",K230)-1)</f>
        <v>Selasa</v>
      </c>
      <c r="M230" s="5" t="str">
        <f>MID(K230,FIND(",",K230)+2,LEN(K230))</f>
        <v>13:00 - 15:00</v>
      </c>
      <c r="N230" s="7" t="s">
        <v>224</v>
      </c>
    </row>
    <row r="231" spans="2:14" ht="30" hidden="1" customHeight="1" x14ac:dyDescent="0.3">
      <c r="B231" s="5">
        <v>27</v>
      </c>
      <c r="C231" s="5" t="s">
        <v>467</v>
      </c>
      <c r="D231" s="5">
        <v>100</v>
      </c>
      <c r="E231" s="5">
        <v>2</v>
      </c>
      <c r="F231" s="7" t="s">
        <v>477</v>
      </c>
      <c r="G231" s="7" t="s">
        <v>220</v>
      </c>
      <c r="H231" s="5" t="s">
        <v>478</v>
      </c>
      <c r="I231" s="10" t="s">
        <v>479</v>
      </c>
      <c r="J231" s="7" t="s">
        <v>382</v>
      </c>
      <c r="K231" s="7" t="s">
        <v>480</v>
      </c>
      <c r="L231" s="5" t="str">
        <f>LEFT(K231,FIND( ",",K231)-1)</f>
        <v>Selasa</v>
      </c>
      <c r="M231" s="5" t="str">
        <f>MID(K231,FIND(",",K231)+2,LEN(K231))</f>
        <v>13:00 - 15:00</v>
      </c>
      <c r="N231" s="7" t="s">
        <v>224</v>
      </c>
    </row>
    <row r="232" spans="2:14" ht="30" hidden="1" customHeight="1" x14ac:dyDescent="0.3">
      <c r="B232" s="5">
        <v>27</v>
      </c>
      <c r="C232" s="5" t="s">
        <v>467</v>
      </c>
      <c r="D232" s="5">
        <v>100</v>
      </c>
      <c r="E232" s="5">
        <v>34</v>
      </c>
      <c r="F232" s="7" t="s">
        <v>251</v>
      </c>
      <c r="G232" s="7" t="s">
        <v>220</v>
      </c>
      <c r="H232" s="5" t="s">
        <v>252</v>
      </c>
      <c r="I232" s="10" t="s">
        <v>481</v>
      </c>
      <c r="J232" s="7" t="s">
        <v>305</v>
      </c>
      <c r="K232" s="7" t="s">
        <v>257</v>
      </c>
      <c r="L232" s="5" t="str">
        <f>LEFT(K232,FIND( ",",K232)-1)</f>
        <v>Selasa</v>
      </c>
      <c r="M232" s="5" t="str">
        <f>MID(K232,FIND(",",K232)+2,LEN(K232))</f>
        <v>16:00 - 16:50</v>
      </c>
      <c r="N232" s="7" t="s">
        <v>224</v>
      </c>
    </row>
    <row r="233" spans="2:14" ht="30" hidden="1" customHeight="1" x14ac:dyDescent="0.3">
      <c r="B233" s="5">
        <v>27</v>
      </c>
      <c r="C233" s="5" t="s">
        <v>467</v>
      </c>
      <c r="D233" s="5">
        <v>100</v>
      </c>
      <c r="E233" s="5">
        <v>52</v>
      </c>
      <c r="F233" s="7" t="s">
        <v>172</v>
      </c>
      <c r="G233" s="7" t="s">
        <v>220</v>
      </c>
      <c r="H233" s="5" t="s">
        <v>174</v>
      </c>
      <c r="I233" s="10" t="s">
        <v>468</v>
      </c>
      <c r="J233" s="7" t="s">
        <v>469</v>
      </c>
      <c r="K233" s="7" t="s">
        <v>5</v>
      </c>
      <c r="L233" s="5" t="str">
        <f>LEFT(K233,FIND( ",",K233)-1)</f>
        <v>Senin</v>
      </c>
      <c r="M233" s="5" t="str">
        <f>MID(K233,FIND(",",K233)+2,LEN(K233))</f>
        <v>08:00 - 09:40</v>
      </c>
      <c r="N233" s="7" t="s">
        <v>224</v>
      </c>
    </row>
    <row r="234" spans="2:14" ht="30" hidden="1" customHeight="1" x14ac:dyDescent="0.3">
      <c r="B234" s="5">
        <v>27</v>
      </c>
      <c r="C234" s="5" t="s">
        <v>467</v>
      </c>
      <c r="D234" s="5">
        <v>100</v>
      </c>
      <c r="E234" s="5">
        <v>39</v>
      </c>
      <c r="F234" s="7" t="s">
        <v>297</v>
      </c>
      <c r="G234" s="7" t="s">
        <v>220</v>
      </c>
      <c r="H234" s="5" t="s">
        <v>298</v>
      </c>
      <c r="I234" s="10" t="s">
        <v>470</v>
      </c>
      <c r="J234" s="7" t="s">
        <v>471</v>
      </c>
      <c r="K234" s="7" t="s">
        <v>12</v>
      </c>
      <c r="L234" s="5" t="str">
        <f>LEFT(K234,FIND( ",",K234)-1)</f>
        <v>Senin</v>
      </c>
      <c r="M234" s="5" t="str">
        <f>MID(K234,FIND(",",K234)+2,LEN(K234))</f>
        <v>10:00 - 11:40</v>
      </c>
      <c r="N234" s="7" t="s">
        <v>224</v>
      </c>
    </row>
    <row r="235" spans="2:14" ht="30" hidden="1" customHeight="1" x14ac:dyDescent="0.3">
      <c r="B235" s="5">
        <v>27</v>
      </c>
      <c r="C235" s="5" t="s">
        <v>467</v>
      </c>
      <c r="D235" s="5">
        <v>100</v>
      </c>
      <c r="E235" s="5">
        <v>39</v>
      </c>
      <c r="F235" s="7" t="s">
        <v>297</v>
      </c>
      <c r="G235" s="7" t="s">
        <v>220</v>
      </c>
      <c r="H235" s="5" t="s">
        <v>298</v>
      </c>
      <c r="I235" s="10" t="s">
        <v>470</v>
      </c>
      <c r="J235" s="7" t="s">
        <v>472</v>
      </c>
      <c r="K235" s="7" t="s">
        <v>12</v>
      </c>
      <c r="L235" s="5" t="str">
        <f>LEFT(K235,FIND( ",",K235)-1)</f>
        <v>Senin</v>
      </c>
      <c r="M235" s="5" t="str">
        <f>MID(K235,FIND(",",K235)+2,LEN(K235))</f>
        <v>10:00 - 11:40</v>
      </c>
      <c r="N235" s="7" t="s">
        <v>224</v>
      </c>
    </row>
    <row r="236" spans="2:14" ht="30" hidden="1" customHeight="1" x14ac:dyDescent="0.3">
      <c r="B236" s="5">
        <v>27</v>
      </c>
      <c r="C236" s="5" t="s">
        <v>467</v>
      </c>
      <c r="D236" s="5">
        <v>100</v>
      </c>
      <c r="E236" s="5">
        <v>60</v>
      </c>
      <c r="F236" s="7" t="s">
        <v>297</v>
      </c>
      <c r="G236" s="7" t="s">
        <v>220</v>
      </c>
      <c r="H236" s="5" t="s">
        <v>298</v>
      </c>
      <c r="I236" s="10" t="s">
        <v>473</v>
      </c>
      <c r="J236" s="7" t="s">
        <v>474</v>
      </c>
      <c r="K236" s="7" t="s">
        <v>19</v>
      </c>
      <c r="L236" s="5" t="str">
        <f>LEFT(K236,FIND( ",",K236)-1)</f>
        <v>Senin</v>
      </c>
      <c r="M236" s="5" t="str">
        <f>MID(K236,FIND(",",K236)+2,LEN(K236))</f>
        <v>13:00 - 14:40</v>
      </c>
      <c r="N236" s="7" t="s">
        <v>224</v>
      </c>
    </row>
    <row r="237" spans="2:14" ht="30" hidden="1" customHeight="1" x14ac:dyDescent="0.3">
      <c r="B237" s="5">
        <v>27</v>
      </c>
      <c r="C237" s="5" t="s">
        <v>467</v>
      </c>
      <c r="D237" s="5">
        <v>100</v>
      </c>
      <c r="E237" s="5">
        <v>60</v>
      </c>
      <c r="F237" s="7" t="s">
        <v>297</v>
      </c>
      <c r="G237" s="7" t="s">
        <v>220</v>
      </c>
      <c r="H237" s="5" t="s">
        <v>298</v>
      </c>
      <c r="I237" s="10" t="s">
        <v>473</v>
      </c>
      <c r="J237" s="7" t="s">
        <v>229</v>
      </c>
      <c r="K237" s="7" t="s">
        <v>19</v>
      </c>
      <c r="L237" s="5" t="str">
        <f>LEFT(K237,FIND( ",",K237)-1)</f>
        <v>Senin</v>
      </c>
      <c r="M237" s="5" t="str">
        <f>MID(K237,FIND(",",K237)+2,LEN(K237))</f>
        <v>13:00 - 14:40</v>
      </c>
      <c r="N237" s="7" t="s">
        <v>224</v>
      </c>
    </row>
    <row r="238" spans="2:14" ht="30" hidden="1" customHeight="1" x14ac:dyDescent="0.3">
      <c r="B238" s="2">
        <v>28</v>
      </c>
      <c r="C238" s="2" t="s">
        <v>484</v>
      </c>
      <c r="D238" s="2">
        <v>80</v>
      </c>
      <c r="E238" s="2">
        <v>45</v>
      </c>
      <c r="F238" s="1" t="s">
        <v>415</v>
      </c>
      <c r="G238" s="1" t="s">
        <v>220</v>
      </c>
      <c r="H238" s="2" t="s">
        <v>416</v>
      </c>
      <c r="I238" s="11" t="s">
        <v>442</v>
      </c>
      <c r="J238" s="1" t="s">
        <v>234</v>
      </c>
      <c r="K238" s="1" t="s">
        <v>285</v>
      </c>
      <c r="L238" s="2" t="str">
        <f>LEFT(K238,FIND( ",",K238)-1)</f>
        <v>Jumat</v>
      </c>
      <c r="M238" s="2" t="str">
        <f>MID(K238,FIND(",",K238)+2,LEN(K238))</f>
        <v>08:00 - 08:50</v>
      </c>
      <c r="N238" s="1" t="s">
        <v>224</v>
      </c>
    </row>
    <row r="239" spans="2:14" ht="30" hidden="1" customHeight="1" x14ac:dyDescent="0.3">
      <c r="B239" s="2">
        <v>28</v>
      </c>
      <c r="C239" s="2" t="s">
        <v>484</v>
      </c>
      <c r="D239" s="2">
        <v>80</v>
      </c>
      <c r="E239" s="2">
        <v>31</v>
      </c>
      <c r="F239" s="1" t="s">
        <v>500</v>
      </c>
      <c r="G239" s="1" t="s">
        <v>220</v>
      </c>
      <c r="H239" s="2" t="s">
        <v>501</v>
      </c>
      <c r="I239" s="11" t="s">
        <v>502</v>
      </c>
      <c r="J239" s="1" t="s">
        <v>456</v>
      </c>
      <c r="K239" s="1" t="s">
        <v>286</v>
      </c>
      <c r="L239" s="2" t="str">
        <f>LEFT(K239,FIND( ",",K239)-1)</f>
        <v>Jumat</v>
      </c>
      <c r="M239" s="2" t="str">
        <f>MID(K239,FIND(",",K239)+2,LEN(K239))</f>
        <v>09:00 - 09:50</v>
      </c>
      <c r="N239" s="1" t="s">
        <v>224</v>
      </c>
    </row>
    <row r="240" spans="2:14" ht="30" hidden="1" customHeight="1" x14ac:dyDescent="0.3">
      <c r="B240" s="5">
        <v>27</v>
      </c>
      <c r="C240" s="5" t="s">
        <v>467</v>
      </c>
      <c r="D240" s="5">
        <v>100</v>
      </c>
      <c r="E240" s="5">
        <v>3</v>
      </c>
      <c r="F240" s="7" t="s">
        <v>219</v>
      </c>
      <c r="G240" s="7" t="s">
        <v>220</v>
      </c>
      <c r="H240" s="5" t="s">
        <v>221</v>
      </c>
      <c r="I240" s="10" t="s">
        <v>482</v>
      </c>
      <c r="J240" s="7" t="s">
        <v>365</v>
      </c>
      <c r="K240" s="7" t="s">
        <v>262</v>
      </c>
      <c r="L240" s="5" t="str">
        <f>LEFT(K240,FIND( ",",K240)-1)</f>
        <v>Kamis</v>
      </c>
      <c r="M240" s="5" t="str">
        <f>MID(K240,FIND(",",K240)+2,LEN(K240))</f>
        <v>11:00 - 11:50</v>
      </c>
      <c r="N240" s="7" t="s">
        <v>224</v>
      </c>
    </row>
    <row r="241" spans="2:14" ht="30" hidden="1" customHeight="1" x14ac:dyDescent="0.3">
      <c r="B241" s="2">
        <v>28</v>
      </c>
      <c r="C241" s="2" t="s">
        <v>484</v>
      </c>
      <c r="D241" s="2">
        <v>80</v>
      </c>
      <c r="E241" s="2">
        <v>17</v>
      </c>
      <c r="F241" s="1" t="s">
        <v>379</v>
      </c>
      <c r="G241" s="1" t="s">
        <v>220</v>
      </c>
      <c r="H241" s="2" t="s">
        <v>380</v>
      </c>
      <c r="I241" s="11" t="s">
        <v>496</v>
      </c>
      <c r="J241" s="1" t="s">
        <v>382</v>
      </c>
      <c r="K241" s="1" t="s">
        <v>262</v>
      </c>
      <c r="L241" s="2" t="str">
        <f>LEFT(K241,FIND( ",",K241)-1)</f>
        <v>Kamis</v>
      </c>
      <c r="M241" s="2" t="str">
        <f>MID(K241,FIND(",",K241)+2,LEN(K241))</f>
        <v>11:00 - 11:50</v>
      </c>
      <c r="N241" s="1" t="s">
        <v>224</v>
      </c>
    </row>
    <row r="242" spans="2:14" ht="30" hidden="1" customHeight="1" x14ac:dyDescent="0.3">
      <c r="B242" s="2">
        <v>32</v>
      </c>
      <c r="C242" s="2" t="s">
        <v>548</v>
      </c>
      <c r="D242" s="2">
        <v>73</v>
      </c>
      <c r="E242" s="2">
        <v>12</v>
      </c>
      <c r="F242" s="1" t="s">
        <v>379</v>
      </c>
      <c r="G242" s="1" t="s">
        <v>220</v>
      </c>
      <c r="H242" s="2" t="s">
        <v>380</v>
      </c>
      <c r="I242" s="11" t="s">
        <v>476</v>
      </c>
      <c r="J242" s="1" t="s">
        <v>283</v>
      </c>
      <c r="K242" s="1" t="s">
        <v>262</v>
      </c>
      <c r="L242" s="2" t="str">
        <f>LEFT(K242,FIND( ",",K242)-1)</f>
        <v>Kamis</v>
      </c>
      <c r="M242" s="2" t="str">
        <f>MID(K242,FIND(",",K242)+2,LEN(K242))</f>
        <v>11:00 - 11:50</v>
      </c>
      <c r="N242" s="1" t="s">
        <v>224</v>
      </c>
    </row>
    <row r="243" spans="2:14" ht="30" hidden="1" customHeight="1" x14ac:dyDescent="0.3">
      <c r="B243" s="2">
        <v>36</v>
      </c>
      <c r="C243" s="2" t="s">
        <v>584</v>
      </c>
      <c r="D243" s="2">
        <v>80</v>
      </c>
      <c r="E243" s="2">
        <v>47</v>
      </c>
      <c r="F243" s="1" t="s">
        <v>251</v>
      </c>
      <c r="G243" s="1" t="s">
        <v>220</v>
      </c>
      <c r="H243" s="2" t="s">
        <v>252</v>
      </c>
      <c r="I243" s="11" t="s">
        <v>590</v>
      </c>
      <c r="J243" s="1" t="s">
        <v>254</v>
      </c>
      <c r="K243" s="1" t="s">
        <v>262</v>
      </c>
      <c r="L243" s="2" t="str">
        <f>LEFT(K243,FIND( ",",K243)-1)</f>
        <v>Kamis</v>
      </c>
      <c r="M243" s="2" t="str">
        <f>MID(K243,FIND(",",K243)+2,LEN(K243))</f>
        <v>11:00 - 11:50</v>
      </c>
      <c r="N243" s="1" t="s">
        <v>224</v>
      </c>
    </row>
    <row r="244" spans="2:14" ht="30" customHeight="1" x14ac:dyDescent="0.3">
      <c r="B244" s="2">
        <v>28</v>
      </c>
      <c r="C244" s="2" t="s">
        <v>484</v>
      </c>
      <c r="D244" s="2">
        <v>80</v>
      </c>
      <c r="E244" s="2">
        <v>11</v>
      </c>
      <c r="F244" s="1" t="s">
        <v>293</v>
      </c>
      <c r="G244" s="1" t="s">
        <v>173</v>
      </c>
      <c r="H244" s="2" t="s">
        <v>294</v>
      </c>
      <c r="I244" s="11" t="s">
        <v>485</v>
      </c>
      <c r="J244" s="1" t="s">
        <v>486</v>
      </c>
      <c r="K244" s="1" t="s">
        <v>23</v>
      </c>
      <c r="L244" s="2" t="str">
        <f>LEFT(K244,FIND( ",",K244)-1)</f>
        <v>Rabu</v>
      </c>
      <c r="M244" s="2" t="str">
        <f>MID(K244,FIND(",",K244)+2,LEN(K244))</f>
        <v>08:00 - 09:40</v>
      </c>
      <c r="N244" s="1" t="s">
        <v>177</v>
      </c>
    </row>
    <row r="245" spans="2:14" ht="30" customHeight="1" x14ac:dyDescent="0.3">
      <c r="B245" s="2">
        <v>28</v>
      </c>
      <c r="C245" s="2" t="s">
        <v>484</v>
      </c>
      <c r="D245" s="2">
        <v>80</v>
      </c>
      <c r="E245" s="2">
        <v>47</v>
      </c>
      <c r="F245" s="1" t="s">
        <v>297</v>
      </c>
      <c r="G245" s="1" t="s">
        <v>220</v>
      </c>
      <c r="H245" s="2" t="s">
        <v>298</v>
      </c>
      <c r="I245" s="11" t="s">
        <v>487</v>
      </c>
      <c r="J245" s="1" t="s">
        <v>488</v>
      </c>
      <c r="K245" s="1" t="s">
        <v>31</v>
      </c>
      <c r="L245" s="2" t="str">
        <f>LEFT(K245,FIND( ",",K245)-1)</f>
        <v>Rabu</v>
      </c>
      <c r="M245" s="2" t="str">
        <f>MID(K245,FIND(",",K245)+2,LEN(K245))</f>
        <v>10:00 - 11:40</v>
      </c>
      <c r="N245" s="1" t="s">
        <v>224</v>
      </c>
    </row>
    <row r="246" spans="2:14" ht="30" hidden="1" customHeight="1" x14ac:dyDescent="0.3">
      <c r="B246" s="2">
        <v>28</v>
      </c>
      <c r="C246" s="2" t="s">
        <v>484</v>
      </c>
      <c r="D246" s="2">
        <v>80</v>
      </c>
      <c r="E246" s="2">
        <v>15</v>
      </c>
      <c r="F246" s="1" t="s">
        <v>492</v>
      </c>
      <c r="G246" s="1" t="s">
        <v>220</v>
      </c>
      <c r="H246" s="2" t="s">
        <v>493</v>
      </c>
      <c r="I246" s="11" t="s">
        <v>494</v>
      </c>
      <c r="J246" s="1" t="s">
        <v>495</v>
      </c>
      <c r="K246" s="1" t="s">
        <v>29</v>
      </c>
      <c r="L246" s="2" t="str">
        <f>LEFT(K246,FIND( ",",K246)-1)</f>
        <v>Selasa</v>
      </c>
      <c r="M246" s="2" t="str">
        <f>MID(K246,FIND(",",K246)+2,LEN(K246))</f>
        <v>08:00 - 09:40</v>
      </c>
      <c r="N246" s="1" t="s">
        <v>224</v>
      </c>
    </row>
    <row r="247" spans="2:14" ht="30" hidden="1" customHeight="1" x14ac:dyDescent="0.3">
      <c r="B247" s="2">
        <v>28</v>
      </c>
      <c r="C247" s="2" t="s">
        <v>484</v>
      </c>
      <c r="D247" s="2">
        <v>80</v>
      </c>
      <c r="E247" s="2">
        <v>17</v>
      </c>
      <c r="F247" s="1" t="s">
        <v>379</v>
      </c>
      <c r="G247" s="1" t="s">
        <v>220</v>
      </c>
      <c r="H247" s="2" t="s">
        <v>380</v>
      </c>
      <c r="I247" s="11" t="s">
        <v>496</v>
      </c>
      <c r="J247" s="1" t="s">
        <v>382</v>
      </c>
      <c r="K247" s="1" t="s">
        <v>37</v>
      </c>
      <c r="L247" s="2" t="str">
        <f>LEFT(K247,FIND( ",",K247)-1)</f>
        <v>Selasa</v>
      </c>
      <c r="M247" s="2" t="str">
        <f>MID(K247,FIND(",",K247)+2,LEN(K247))</f>
        <v>10:00 - 11:40</v>
      </c>
      <c r="N247" s="1" t="s">
        <v>224</v>
      </c>
    </row>
    <row r="248" spans="2:14" ht="30" hidden="1" customHeight="1" x14ac:dyDescent="0.3">
      <c r="B248" s="2">
        <v>28</v>
      </c>
      <c r="C248" s="2" t="s">
        <v>484</v>
      </c>
      <c r="D248" s="2">
        <v>80</v>
      </c>
      <c r="E248" s="2">
        <v>12</v>
      </c>
      <c r="F248" s="1" t="s">
        <v>497</v>
      </c>
      <c r="G248" s="1" t="s">
        <v>173</v>
      </c>
      <c r="H248" s="2" t="s">
        <v>498</v>
      </c>
      <c r="I248" s="11" t="s">
        <v>499</v>
      </c>
      <c r="J248" s="1" t="s">
        <v>474</v>
      </c>
      <c r="K248" s="1" t="s">
        <v>42</v>
      </c>
      <c r="L248" s="2" t="str">
        <f>LEFT(K248,FIND( ",",K248)-1)</f>
        <v>Selasa</v>
      </c>
      <c r="M248" s="2" t="str">
        <f>MID(K248,FIND(",",K248)+2,LEN(K248))</f>
        <v>13:00 - 14:40</v>
      </c>
      <c r="N248" s="1" t="s">
        <v>177</v>
      </c>
    </row>
    <row r="249" spans="2:14" ht="30" hidden="1" customHeight="1" x14ac:dyDescent="0.3">
      <c r="B249" s="2">
        <v>28</v>
      </c>
      <c r="C249" s="2" t="s">
        <v>484</v>
      </c>
      <c r="D249" s="2">
        <v>80</v>
      </c>
      <c r="E249" s="2">
        <v>31</v>
      </c>
      <c r="F249" s="1" t="s">
        <v>500</v>
      </c>
      <c r="G249" s="1" t="s">
        <v>220</v>
      </c>
      <c r="H249" s="2" t="s">
        <v>501</v>
      </c>
      <c r="I249" s="11" t="s">
        <v>502</v>
      </c>
      <c r="J249" s="1" t="s">
        <v>456</v>
      </c>
      <c r="K249" s="1" t="s">
        <v>503</v>
      </c>
      <c r="L249" s="2" t="str">
        <f>LEFT(K249,FIND( ",",K249)-1)</f>
        <v>Selasa</v>
      </c>
      <c r="M249" s="2" t="str">
        <f>MID(K249,FIND(",",K249)+2,LEN(K249))</f>
        <v>16:00 - 17:40</v>
      </c>
      <c r="N249" s="1" t="s">
        <v>224</v>
      </c>
    </row>
    <row r="250" spans="2:14" ht="30" hidden="1" customHeight="1" x14ac:dyDescent="0.3">
      <c r="B250" s="2">
        <v>28</v>
      </c>
      <c r="C250" s="2" t="s">
        <v>484</v>
      </c>
      <c r="D250" s="2">
        <v>80</v>
      </c>
      <c r="E250" s="2">
        <v>11</v>
      </c>
      <c r="F250" s="1" t="s">
        <v>293</v>
      </c>
      <c r="G250" s="1" t="s">
        <v>173</v>
      </c>
      <c r="H250" s="2" t="s">
        <v>294</v>
      </c>
      <c r="I250" s="11" t="s">
        <v>485</v>
      </c>
      <c r="J250" s="1" t="s">
        <v>486</v>
      </c>
      <c r="K250" s="1" t="s">
        <v>5</v>
      </c>
      <c r="L250" s="2" t="str">
        <f>LEFT(K250,FIND( ",",K250)-1)</f>
        <v>Senin</v>
      </c>
      <c r="M250" s="2" t="str">
        <f>MID(K250,FIND(",",K250)+2,LEN(K250))</f>
        <v>08:00 - 09:40</v>
      </c>
      <c r="N250" s="1" t="s">
        <v>177</v>
      </c>
    </row>
    <row r="251" spans="2:14" ht="30" hidden="1" customHeight="1" x14ac:dyDescent="0.3">
      <c r="B251" s="2">
        <v>28</v>
      </c>
      <c r="C251" s="2" t="s">
        <v>484</v>
      </c>
      <c r="D251" s="2">
        <v>80</v>
      </c>
      <c r="E251" s="2">
        <v>47</v>
      </c>
      <c r="F251" s="1" t="s">
        <v>297</v>
      </c>
      <c r="G251" s="1" t="s">
        <v>220</v>
      </c>
      <c r="H251" s="2" t="s">
        <v>298</v>
      </c>
      <c r="I251" s="11" t="s">
        <v>487</v>
      </c>
      <c r="J251" s="1" t="s">
        <v>488</v>
      </c>
      <c r="K251" s="1" t="s">
        <v>12</v>
      </c>
      <c r="L251" s="2" t="str">
        <f>LEFT(K251,FIND( ",",K251)-1)</f>
        <v>Senin</v>
      </c>
      <c r="M251" s="2" t="str">
        <f>MID(K251,FIND(",",K251)+2,LEN(K251))</f>
        <v>10:00 - 11:40</v>
      </c>
      <c r="N251" s="1" t="s">
        <v>224</v>
      </c>
    </row>
    <row r="252" spans="2:14" ht="30" hidden="1" customHeight="1" x14ac:dyDescent="0.3">
      <c r="B252" s="2">
        <v>28</v>
      </c>
      <c r="C252" s="2" t="s">
        <v>484</v>
      </c>
      <c r="D252" s="2">
        <v>80</v>
      </c>
      <c r="E252" s="2">
        <v>56</v>
      </c>
      <c r="F252" s="1" t="s">
        <v>316</v>
      </c>
      <c r="G252" s="1" t="s">
        <v>173</v>
      </c>
      <c r="H252" s="2" t="s">
        <v>317</v>
      </c>
      <c r="I252" s="11" t="s">
        <v>489</v>
      </c>
      <c r="J252" s="1" t="s">
        <v>490</v>
      </c>
      <c r="K252" s="1" t="s">
        <v>19</v>
      </c>
      <c r="L252" s="2" t="str">
        <f>LEFT(K252,FIND( ",",K252)-1)</f>
        <v>Senin</v>
      </c>
      <c r="M252" s="2" t="str">
        <f>MID(K252,FIND(",",K252)+2,LEN(K252))</f>
        <v>13:00 - 14:40</v>
      </c>
      <c r="N252" s="1" t="s">
        <v>177</v>
      </c>
    </row>
    <row r="253" spans="2:14" ht="30" hidden="1" customHeight="1" x14ac:dyDescent="0.3">
      <c r="B253" s="2">
        <v>28</v>
      </c>
      <c r="C253" s="2" t="s">
        <v>484</v>
      </c>
      <c r="D253" s="2">
        <v>80</v>
      </c>
      <c r="E253" s="2">
        <v>56</v>
      </c>
      <c r="F253" s="1" t="s">
        <v>316</v>
      </c>
      <c r="G253" s="1" t="s">
        <v>173</v>
      </c>
      <c r="H253" s="2" t="s">
        <v>317</v>
      </c>
      <c r="I253" s="11" t="s">
        <v>489</v>
      </c>
      <c r="J253" s="1" t="s">
        <v>488</v>
      </c>
      <c r="K253" s="1" t="s">
        <v>19</v>
      </c>
      <c r="L253" s="2" t="str">
        <f>LEFT(K253,FIND( ",",K253)-1)</f>
        <v>Senin</v>
      </c>
      <c r="M253" s="2" t="str">
        <f>MID(K253,FIND(",",K253)+2,LEN(K253))</f>
        <v>13:00 - 14:40</v>
      </c>
      <c r="N253" s="1" t="s">
        <v>177</v>
      </c>
    </row>
    <row r="254" spans="2:14" ht="30" hidden="1" customHeight="1" x14ac:dyDescent="0.3">
      <c r="B254" s="2">
        <v>28</v>
      </c>
      <c r="C254" s="2" t="s">
        <v>484</v>
      </c>
      <c r="D254" s="2">
        <v>80</v>
      </c>
      <c r="E254" s="2">
        <v>21</v>
      </c>
      <c r="F254" s="1" t="s">
        <v>316</v>
      </c>
      <c r="G254" s="1" t="s">
        <v>173</v>
      </c>
      <c r="H254" s="2" t="s">
        <v>317</v>
      </c>
      <c r="I254" s="11" t="s">
        <v>491</v>
      </c>
      <c r="J254" s="1" t="s">
        <v>490</v>
      </c>
      <c r="K254" s="1" t="s">
        <v>21</v>
      </c>
      <c r="L254" s="2" t="str">
        <f>LEFT(K254,FIND( ",",K254)-1)</f>
        <v>Senin</v>
      </c>
      <c r="M254" s="2" t="str">
        <f>MID(K254,FIND(",",K254)+2,LEN(K254))</f>
        <v>15:00 - 16:40</v>
      </c>
      <c r="N254" s="1" t="s">
        <v>177</v>
      </c>
    </row>
    <row r="255" spans="2:14" ht="30" hidden="1" customHeight="1" x14ac:dyDescent="0.3">
      <c r="B255" s="5">
        <v>29</v>
      </c>
      <c r="C255" s="5" t="s">
        <v>505</v>
      </c>
      <c r="D255" s="5">
        <v>80</v>
      </c>
      <c r="E255" s="5">
        <v>13</v>
      </c>
      <c r="F255" s="7" t="s">
        <v>511</v>
      </c>
      <c r="G255" s="7" t="s">
        <v>173</v>
      </c>
      <c r="H255" s="5" t="s">
        <v>512</v>
      </c>
      <c r="I255" s="10" t="s">
        <v>513</v>
      </c>
      <c r="J255" s="7" t="s">
        <v>514</v>
      </c>
      <c r="K255" s="7" t="s">
        <v>285</v>
      </c>
      <c r="L255" s="5" t="str">
        <f>LEFT(K255,FIND( ",",K255)-1)</f>
        <v>Jumat</v>
      </c>
      <c r="M255" s="5" t="str">
        <f>MID(K255,FIND(",",K255)+2,LEN(K255))</f>
        <v>08:00 - 08:50</v>
      </c>
      <c r="N255" s="7" t="s">
        <v>177</v>
      </c>
    </row>
    <row r="256" spans="2:14" ht="30" hidden="1" customHeight="1" x14ac:dyDescent="0.3">
      <c r="B256" s="5">
        <v>29</v>
      </c>
      <c r="C256" s="5" t="s">
        <v>505</v>
      </c>
      <c r="D256" s="5">
        <v>80</v>
      </c>
      <c r="E256" s="5">
        <v>59</v>
      </c>
      <c r="F256" s="7" t="s">
        <v>226</v>
      </c>
      <c r="G256" s="7" t="s">
        <v>227</v>
      </c>
      <c r="H256" s="5" t="s">
        <v>228</v>
      </c>
      <c r="I256" s="10" t="s">
        <v>228</v>
      </c>
      <c r="J256" s="7" t="s">
        <v>229</v>
      </c>
      <c r="K256" s="7" t="s">
        <v>448</v>
      </c>
      <c r="L256" s="5" t="str">
        <f>LEFT(K256,FIND( ",",K256)-1)</f>
        <v>Jumat</v>
      </c>
      <c r="M256" s="5" t="str">
        <f>MID(K256,FIND(",",K256)+2,LEN(K256))</f>
        <v>16:00 - 16:50</v>
      </c>
      <c r="N256" s="7" t="s">
        <v>230</v>
      </c>
    </row>
    <row r="257" spans="2:14" ht="30" hidden="1" customHeight="1" x14ac:dyDescent="0.3">
      <c r="B257" s="2">
        <v>14</v>
      </c>
      <c r="C257" s="2" t="s">
        <v>236</v>
      </c>
      <c r="D257" s="2">
        <v>70</v>
      </c>
      <c r="E257" s="2">
        <v>60</v>
      </c>
      <c r="F257" s="1" t="s">
        <v>248</v>
      </c>
      <c r="G257" s="1" t="s">
        <v>227</v>
      </c>
      <c r="H257" s="2" t="s">
        <v>249</v>
      </c>
      <c r="I257" s="11" t="s">
        <v>249</v>
      </c>
      <c r="J257" s="1" t="s">
        <v>250</v>
      </c>
      <c r="K257" s="1" t="s">
        <v>263</v>
      </c>
      <c r="L257" s="2" t="str">
        <f>LEFT(K257,FIND( ",",K257)-1)</f>
        <v>Kamis</v>
      </c>
      <c r="M257" s="2" t="str">
        <f>MID(K257,FIND(",",K257)+2,LEN(K257))</f>
        <v>13:00 - 13:50</v>
      </c>
      <c r="N257" s="1" t="s">
        <v>230</v>
      </c>
    </row>
    <row r="258" spans="2:14" ht="30" hidden="1" customHeight="1" x14ac:dyDescent="0.3">
      <c r="B258" s="5">
        <v>15</v>
      </c>
      <c r="C258" s="5" t="s">
        <v>268</v>
      </c>
      <c r="D258" s="5">
        <v>269</v>
      </c>
      <c r="E258" s="5">
        <v>11</v>
      </c>
      <c r="F258" s="7" t="s">
        <v>280</v>
      </c>
      <c r="G258" s="7" t="s">
        <v>220</v>
      </c>
      <c r="H258" s="5" t="s">
        <v>281</v>
      </c>
      <c r="I258" s="10" t="s">
        <v>282</v>
      </c>
      <c r="J258" s="7" t="s">
        <v>283</v>
      </c>
      <c r="K258" s="7" t="s">
        <v>263</v>
      </c>
      <c r="L258" s="5" t="str">
        <f>LEFT(K258,FIND( ",",K258)-1)</f>
        <v>Kamis</v>
      </c>
      <c r="M258" s="5" t="str">
        <f>MID(K258,FIND(",",K258)+2,LEN(K258))</f>
        <v>13:00 - 13:50</v>
      </c>
      <c r="N258" s="7" t="s">
        <v>224</v>
      </c>
    </row>
    <row r="259" spans="2:14" ht="30" hidden="1" customHeight="1" x14ac:dyDescent="0.3">
      <c r="B259" s="5">
        <v>17</v>
      </c>
      <c r="C259" s="5" t="s">
        <v>292</v>
      </c>
      <c r="D259" s="5">
        <v>70</v>
      </c>
      <c r="E259" s="5">
        <v>11</v>
      </c>
      <c r="F259" s="7" t="s">
        <v>309</v>
      </c>
      <c r="G259" s="7" t="s">
        <v>173</v>
      </c>
      <c r="H259" s="5" t="s">
        <v>310</v>
      </c>
      <c r="I259" s="10" t="s">
        <v>311</v>
      </c>
      <c r="J259" s="7" t="s">
        <v>301</v>
      </c>
      <c r="K259" s="7" t="s">
        <v>263</v>
      </c>
      <c r="L259" s="5" t="str">
        <f>LEFT(K259,FIND( ",",K259)-1)</f>
        <v>Kamis</v>
      </c>
      <c r="M259" s="5" t="str">
        <f>MID(K259,FIND(",",K259)+2,LEN(K259))</f>
        <v>13:00 - 13:50</v>
      </c>
      <c r="N259" s="7" t="s">
        <v>177</v>
      </c>
    </row>
    <row r="260" spans="2:14" ht="30" customHeight="1" x14ac:dyDescent="0.3">
      <c r="B260" s="5">
        <v>29</v>
      </c>
      <c r="C260" s="5" t="s">
        <v>505</v>
      </c>
      <c r="D260" s="5">
        <v>80</v>
      </c>
      <c r="E260" s="5">
        <v>64</v>
      </c>
      <c r="F260" s="7" t="s">
        <v>409</v>
      </c>
      <c r="G260" s="7" t="s">
        <v>173</v>
      </c>
      <c r="H260" s="5" t="s">
        <v>410</v>
      </c>
      <c r="I260" s="10" t="s">
        <v>508</v>
      </c>
      <c r="J260" s="7" t="s">
        <v>319</v>
      </c>
      <c r="K260" s="7" t="s">
        <v>31</v>
      </c>
      <c r="L260" s="5" t="str">
        <f>LEFT(K260,FIND( ",",K260)-1)</f>
        <v>Rabu</v>
      </c>
      <c r="M260" s="5" t="str">
        <f>MID(K260,FIND(",",K260)+2,LEN(K260))</f>
        <v>10:00 - 11:40</v>
      </c>
      <c r="N260" s="7" t="s">
        <v>177</v>
      </c>
    </row>
    <row r="261" spans="2:14" ht="30" customHeight="1" x14ac:dyDescent="0.3">
      <c r="B261" s="5">
        <v>29</v>
      </c>
      <c r="C261" s="5" t="s">
        <v>505</v>
      </c>
      <c r="D261" s="5">
        <v>80</v>
      </c>
      <c r="E261" s="5">
        <v>64</v>
      </c>
      <c r="F261" s="7" t="s">
        <v>409</v>
      </c>
      <c r="G261" s="7" t="s">
        <v>173</v>
      </c>
      <c r="H261" s="5" t="s">
        <v>410</v>
      </c>
      <c r="I261" s="10" t="s">
        <v>508</v>
      </c>
      <c r="J261" s="7" t="s">
        <v>509</v>
      </c>
      <c r="K261" s="7" t="s">
        <v>31</v>
      </c>
      <c r="L261" s="5" t="str">
        <f>LEFT(K261,FIND( ",",K261)-1)</f>
        <v>Rabu</v>
      </c>
      <c r="M261" s="5" t="str">
        <f>MID(K261,FIND(",",K261)+2,LEN(K261))</f>
        <v>10:00 - 11:40</v>
      </c>
      <c r="N261" s="7" t="s">
        <v>177</v>
      </c>
    </row>
    <row r="262" spans="2:14" ht="30" customHeight="1" x14ac:dyDescent="0.3">
      <c r="B262" s="5">
        <v>29</v>
      </c>
      <c r="C262" s="5" t="s">
        <v>505</v>
      </c>
      <c r="D262" s="5">
        <v>80</v>
      </c>
      <c r="E262" s="5">
        <v>69</v>
      </c>
      <c r="F262" s="7" t="s">
        <v>409</v>
      </c>
      <c r="G262" s="7" t="s">
        <v>173</v>
      </c>
      <c r="H262" s="5" t="s">
        <v>410</v>
      </c>
      <c r="I262" s="10" t="s">
        <v>510</v>
      </c>
      <c r="J262" s="7" t="s">
        <v>509</v>
      </c>
      <c r="K262" s="7" t="s">
        <v>196</v>
      </c>
      <c r="L262" s="5" t="str">
        <f>LEFT(K262,FIND( ",",K262)-1)</f>
        <v>Rabu</v>
      </c>
      <c r="M262" s="5" t="str">
        <f>MID(K262,FIND(",",K262)+2,LEN(K262))</f>
        <v>14:00 - 15:40</v>
      </c>
      <c r="N262" s="7" t="s">
        <v>177</v>
      </c>
    </row>
    <row r="263" spans="2:14" ht="30" hidden="1" customHeight="1" x14ac:dyDescent="0.3">
      <c r="B263" s="5">
        <v>29</v>
      </c>
      <c r="C263" s="5" t="s">
        <v>505</v>
      </c>
      <c r="D263" s="5">
        <v>80</v>
      </c>
      <c r="E263" s="5">
        <v>13</v>
      </c>
      <c r="F263" s="7" t="s">
        <v>511</v>
      </c>
      <c r="G263" s="7" t="s">
        <v>173</v>
      </c>
      <c r="H263" s="5" t="s">
        <v>512</v>
      </c>
      <c r="I263" s="10" t="s">
        <v>513</v>
      </c>
      <c r="J263" s="7" t="s">
        <v>514</v>
      </c>
      <c r="K263" s="7" t="s">
        <v>29</v>
      </c>
      <c r="L263" s="5" t="str">
        <f>LEFT(K263,FIND( ",",K263)-1)</f>
        <v>Selasa</v>
      </c>
      <c r="M263" s="5" t="str">
        <f>MID(K263,FIND(",",K263)+2,LEN(K263))</f>
        <v>08:00 - 09:40</v>
      </c>
      <c r="N263" s="7" t="s">
        <v>177</v>
      </c>
    </row>
    <row r="264" spans="2:14" ht="30" hidden="1" customHeight="1" x14ac:dyDescent="0.3">
      <c r="B264" s="5">
        <v>29</v>
      </c>
      <c r="C264" s="5" t="s">
        <v>505</v>
      </c>
      <c r="D264" s="5">
        <v>80</v>
      </c>
      <c r="E264" s="5">
        <v>59</v>
      </c>
      <c r="F264" s="7" t="s">
        <v>226</v>
      </c>
      <c r="G264" s="7" t="s">
        <v>227</v>
      </c>
      <c r="H264" s="5" t="s">
        <v>228</v>
      </c>
      <c r="I264" s="10" t="s">
        <v>228</v>
      </c>
      <c r="J264" s="7" t="s">
        <v>229</v>
      </c>
      <c r="K264" s="7" t="s">
        <v>37</v>
      </c>
      <c r="L264" s="5" t="str">
        <f>LEFT(K264,FIND( ",",K264)-1)</f>
        <v>Selasa</v>
      </c>
      <c r="M264" s="5" t="str">
        <f>MID(K264,FIND(",",K264)+2,LEN(K264))</f>
        <v>10:00 - 11:40</v>
      </c>
      <c r="N264" s="7" t="s">
        <v>230</v>
      </c>
    </row>
    <row r="265" spans="2:14" ht="30" hidden="1" customHeight="1" x14ac:dyDescent="0.3">
      <c r="B265" s="5">
        <v>29</v>
      </c>
      <c r="C265" s="5" t="s">
        <v>505</v>
      </c>
      <c r="D265" s="5">
        <v>80</v>
      </c>
      <c r="E265" s="5">
        <v>31</v>
      </c>
      <c r="F265" s="7" t="s">
        <v>214</v>
      </c>
      <c r="G265" s="7" t="s">
        <v>173</v>
      </c>
      <c r="H265" s="5" t="s">
        <v>215</v>
      </c>
      <c r="I265" s="10" t="s">
        <v>515</v>
      </c>
      <c r="J265" s="7" t="s">
        <v>516</v>
      </c>
      <c r="K265" s="7" t="s">
        <v>42</v>
      </c>
      <c r="L265" s="5" t="str">
        <f>LEFT(K265,FIND( ",",K265)-1)</f>
        <v>Selasa</v>
      </c>
      <c r="M265" s="5" t="str">
        <f>MID(K265,FIND(",",K265)+2,LEN(K265))</f>
        <v>13:00 - 14:40</v>
      </c>
      <c r="N265" s="7" t="s">
        <v>177</v>
      </c>
    </row>
    <row r="266" spans="2:14" ht="30" hidden="1" customHeight="1" x14ac:dyDescent="0.3">
      <c r="B266" s="5">
        <v>29</v>
      </c>
      <c r="C266" s="5" t="s">
        <v>505</v>
      </c>
      <c r="D266" s="5">
        <v>80</v>
      </c>
      <c r="E266" s="5">
        <v>44</v>
      </c>
      <c r="F266" s="7" t="s">
        <v>214</v>
      </c>
      <c r="G266" s="7" t="s">
        <v>173</v>
      </c>
      <c r="H266" s="5" t="s">
        <v>215</v>
      </c>
      <c r="I266" s="10" t="s">
        <v>517</v>
      </c>
      <c r="J266" s="7" t="s">
        <v>516</v>
      </c>
      <c r="K266" s="7" t="s">
        <v>194</v>
      </c>
      <c r="L266" s="5" t="str">
        <f>LEFT(K266,FIND( ",",K266)-1)</f>
        <v>Selasa</v>
      </c>
      <c r="M266" s="5" t="str">
        <f>MID(K266,FIND(",",K266)+2,LEN(K266))</f>
        <v>15:00 - 16:40</v>
      </c>
      <c r="N266" s="7" t="s">
        <v>177</v>
      </c>
    </row>
    <row r="267" spans="2:14" ht="30" hidden="1" customHeight="1" x14ac:dyDescent="0.3">
      <c r="B267" s="5">
        <v>29</v>
      </c>
      <c r="C267" s="5" t="s">
        <v>505</v>
      </c>
      <c r="D267" s="5">
        <v>80</v>
      </c>
      <c r="E267" s="5">
        <v>53</v>
      </c>
      <c r="F267" s="7" t="s">
        <v>172</v>
      </c>
      <c r="G267" s="7" t="s">
        <v>220</v>
      </c>
      <c r="H267" s="5" t="s">
        <v>174</v>
      </c>
      <c r="I267" s="10" t="s">
        <v>506</v>
      </c>
      <c r="J267" s="7" t="s">
        <v>507</v>
      </c>
      <c r="K267" s="7" t="s">
        <v>5</v>
      </c>
      <c r="L267" s="5" t="str">
        <f>LEFT(K267,FIND( ",",K267)-1)</f>
        <v>Senin</v>
      </c>
      <c r="M267" s="5" t="str">
        <f>MID(K267,FIND(",",K267)+2,LEN(K267))</f>
        <v>08:00 - 09:40</v>
      </c>
      <c r="N267" s="7" t="s">
        <v>224</v>
      </c>
    </row>
    <row r="268" spans="2:14" ht="30" hidden="1" customHeight="1" x14ac:dyDescent="0.3">
      <c r="B268" s="5">
        <v>29</v>
      </c>
      <c r="C268" s="5" t="s">
        <v>505</v>
      </c>
      <c r="D268" s="5">
        <v>80</v>
      </c>
      <c r="E268" s="5">
        <v>64</v>
      </c>
      <c r="F268" s="7" t="s">
        <v>409</v>
      </c>
      <c r="G268" s="7" t="s">
        <v>173</v>
      </c>
      <c r="H268" s="5" t="s">
        <v>410</v>
      </c>
      <c r="I268" s="10" t="s">
        <v>508</v>
      </c>
      <c r="J268" s="7" t="s">
        <v>509</v>
      </c>
      <c r="K268" s="7" t="s">
        <v>12</v>
      </c>
      <c r="L268" s="5" t="str">
        <f>LEFT(K268,FIND( ",",K268)-1)</f>
        <v>Senin</v>
      </c>
      <c r="M268" s="5" t="str">
        <f>MID(K268,FIND(",",K268)+2,LEN(K268))</f>
        <v>10:00 - 11:40</v>
      </c>
      <c r="N268" s="7" t="s">
        <v>177</v>
      </c>
    </row>
    <row r="269" spans="2:14" ht="30" hidden="1" customHeight="1" x14ac:dyDescent="0.3">
      <c r="B269" s="5">
        <v>29</v>
      </c>
      <c r="C269" s="5" t="s">
        <v>505</v>
      </c>
      <c r="D269" s="5">
        <v>80</v>
      </c>
      <c r="E269" s="5">
        <v>64</v>
      </c>
      <c r="F269" s="7" t="s">
        <v>409</v>
      </c>
      <c r="G269" s="7" t="s">
        <v>173</v>
      </c>
      <c r="H269" s="5" t="s">
        <v>410</v>
      </c>
      <c r="I269" s="10" t="s">
        <v>508</v>
      </c>
      <c r="J269" s="7" t="s">
        <v>319</v>
      </c>
      <c r="K269" s="7" t="s">
        <v>12</v>
      </c>
      <c r="L269" s="5" t="str">
        <f>LEFT(K269,FIND( ",",K269)-1)</f>
        <v>Senin</v>
      </c>
      <c r="M269" s="5" t="str">
        <f>MID(K269,FIND(",",K269)+2,LEN(K269))</f>
        <v>10:00 - 11:40</v>
      </c>
      <c r="N269" s="7" t="s">
        <v>177</v>
      </c>
    </row>
    <row r="270" spans="2:14" ht="30" hidden="1" customHeight="1" x14ac:dyDescent="0.3">
      <c r="B270" s="5">
        <v>29</v>
      </c>
      <c r="C270" s="5" t="s">
        <v>505</v>
      </c>
      <c r="D270" s="5">
        <v>80</v>
      </c>
      <c r="E270" s="5">
        <v>69</v>
      </c>
      <c r="F270" s="7" t="s">
        <v>409</v>
      </c>
      <c r="G270" s="7" t="s">
        <v>173</v>
      </c>
      <c r="H270" s="5" t="s">
        <v>410</v>
      </c>
      <c r="I270" s="10" t="s">
        <v>510</v>
      </c>
      <c r="J270" s="7" t="s">
        <v>509</v>
      </c>
      <c r="K270" s="7" t="s">
        <v>19</v>
      </c>
      <c r="L270" s="5" t="str">
        <f>LEFT(K270,FIND( ",",K270)-1)</f>
        <v>Senin</v>
      </c>
      <c r="M270" s="5" t="str">
        <f>MID(K270,FIND(",",K270)+2,LEN(K270))</f>
        <v>13:00 - 14:40</v>
      </c>
      <c r="N270" s="7" t="s">
        <v>177</v>
      </c>
    </row>
    <row r="271" spans="2:14" ht="30" hidden="1" customHeight="1" x14ac:dyDescent="0.3">
      <c r="B271" s="5">
        <v>29</v>
      </c>
      <c r="C271" s="5" t="s">
        <v>505</v>
      </c>
      <c r="D271" s="5">
        <v>80</v>
      </c>
      <c r="E271" s="5">
        <v>33</v>
      </c>
      <c r="F271" s="7" t="s">
        <v>316</v>
      </c>
      <c r="G271" s="7" t="s">
        <v>173</v>
      </c>
      <c r="H271" s="5" t="s">
        <v>317</v>
      </c>
      <c r="I271" s="10" t="s">
        <v>318</v>
      </c>
      <c r="J271" s="7" t="s">
        <v>319</v>
      </c>
      <c r="K271" s="7" t="s">
        <v>21</v>
      </c>
      <c r="L271" s="5" t="str">
        <f>LEFT(K271,FIND( ",",K271)-1)</f>
        <v>Senin</v>
      </c>
      <c r="M271" s="5" t="str">
        <f>MID(K271,FIND(",",K271)+2,LEN(K271))</f>
        <v>15:00 - 16:40</v>
      </c>
      <c r="N271" s="7" t="s">
        <v>177</v>
      </c>
    </row>
    <row r="272" spans="2:14" ht="30" hidden="1" customHeight="1" x14ac:dyDescent="0.3">
      <c r="B272" s="2">
        <v>30</v>
      </c>
      <c r="C272" s="2" t="s">
        <v>519</v>
      </c>
      <c r="D272" s="2">
        <v>80</v>
      </c>
      <c r="E272" s="2">
        <v>50</v>
      </c>
      <c r="F272" s="1" t="s">
        <v>415</v>
      </c>
      <c r="G272" s="1" t="s">
        <v>220</v>
      </c>
      <c r="H272" s="2" t="s">
        <v>416</v>
      </c>
      <c r="I272" s="11" t="s">
        <v>457</v>
      </c>
      <c r="J272" s="1" t="s">
        <v>334</v>
      </c>
      <c r="K272" s="1" t="s">
        <v>285</v>
      </c>
      <c r="L272" s="2" t="str">
        <f>LEFT(K272,FIND( ",",K272)-1)</f>
        <v>Jumat</v>
      </c>
      <c r="M272" s="2" t="str">
        <f>MID(K272,FIND(",",K272)+2,LEN(K272))</f>
        <v>08:00 - 08:50</v>
      </c>
      <c r="N272" s="1" t="s">
        <v>224</v>
      </c>
    </row>
    <row r="273" spans="2:14" ht="30" hidden="1" customHeight="1" x14ac:dyDescent="0.3">
      <c r="B273" s="2">
        <v>30</v>
      </c>
      <c r="C273" s="2" t="s">
        <v>519</v>
      </c>
      <c r="D273" s="2">
        <v>80</v>
      </c>
      <c r="E273" s="2">
        <v>31</v>
      </c>
      <c r="F273" s="1" t="s">
        <v>534</v>
      </c>
      <c r="G273" s="1" t="s">
        <v>173</v>
      </c>
      <c r="H273" s="2" t="s">
        <v>535</v>
      </c>
      <c r="I273" s="11" t="s">
        <v>536</v>
      </c>
      <c r="J273" s="1" t="s">
        <v>471</v>
      </c>
      <c r="K273" s="1" t="s">
        <v>286</v>
      </c>
      <c r="L273" s="2" t="str">
        <f>LEFT(K273,FIND( ",",K273)-1)</f>
        <v>Jumat</v>
      </c>
      <c r="M273" s="2" t="str">
        <f>MID(K273,FIND(",",K273)+2,LEN(K273))</f>
        <v>09:00 - 09:50</v>
      </c>
      <c r="N273" s="1" t="s">
        <v>177</v>
      </c>
    </row>
    <row r="274" spans="2:14" ht="30" hidden="1" customHeight="1" x14ac:dyDescent="0.3">
      <c r="B274" s="2">
        <v>30</v>
      </c>
      <c r="C274" s="2" t="s">
        <v>519</v>
      </c>
      <c r="D274" s="2">
        <v>80</v>
      </c>
      <c r="E274" s="2">
        <v>13</v>
      </c>
      <c r="F274" s="1" t="s">
        <v>531</v>
      </c>
      <c r="G274" s="1" t="s">
        <v>220</v>
      </c>
      <c r="H274" s="2" t="s">
        <v>532</v>
      </c>
      <c r="I274" s="11" t="s">
        <v>533</v>
      </c>
      <c r="J274" s="1" t="s">
        <v>387</v>
      </c>
      <c r="K274" s="1" t="s">
        <v>370</v>
      </c>
      <c r="L274" s="2" t="str">
        <f>LEFT(K274,FIND( ",",K274)-1)</f>
        <v>Jumat</v>
      </c>
      <c r="M274" s="2" t="str">
        <f>MID(K274,FIND(",",K274)+2,LEN(K274))</f>
        <v>15:00 - 16:40</v>
      </c>
      <c r="N274" s="1" t="s">
        <v>224</v>
      </c>
    </row>
    <row r="275" spans="2:14" ht="30" hidden="1" customHeight="1" x14ac:dyDescent="0.3">
      <c r="B275" s="2">
        <v>20</v>
      </c>
      <c r="C275" s="2" t="s">
        <v>371</v>
      </c>
      <c r="D275" s="2">
        <v>65</v>
      </c>
      <c r="E275" s="2">
        <v>6</v>
      </c>
      <c r="F275" s="1" t="s">
        <v>384</v>
      </c>
      <c r="G275" s="1" t="s">
        <v>220</v>
      </c>
      <c r="H275" s="2" t="s">
        <v>385</v>
      </c>
      <c r="I275" s="11" t="s">
        <v>386</v>
      </c>
      <c r="J275" s="1" t="s">
        <v>387</v>
      </c>
      <c r="K275" s="1" t="s">
        <v>263</v>
      </c>
      <c r="L275" s="2" t="str">
        <f>LEFT(K275,FIND( ",",K275)-1)</f>
        <v>Kamis</v>
      </c>
      <c r="M275" s="2" t="str">
        <f>MID(K275,FIND(",",K275)+2,LEN(K275))</f>
        <v>13:00 - 13:50</v>
      </c>
      <c r="N275" s="1" t="s">
        <v>224</v>
      </c>
    </row>
    <row r="276" spans="2:14" ht="30" hidden="1" customHeight="1" x14ac:dyDescent="0.3">
      <c r="B276" s="5">
        <v>23</v>
      </c>
      <c r="C276" s="5" t="s">
        <v>420</v>
      </c>
      <c r="D276" s="5">
        <v>80</v>
      </c>
      <c r="E276" s="5">
        <v>19</v>
      </c>
      <c r="F276" s="7" t="s">
        <v>355</v>
      </c>
      <c r="G276" s="7" t="s">
        <v>220</v>
      </c>
      <c r="H276" s="5" t="s">
        <v>356</v>
      </c>
      <c r="I276" s="10" t="s">
        <v>357</v>
      </c>
      <c r="J276" s="7" t="s">
        <v>358</v>
      </c>
      <c r="K276" s="7" t="s">
        <v>263</v>
      </c>
      <c r="L276" s="5" t="str">
        <f>LEFT(K276,FIND( ",",K276)-1)</f>
        <v>Kamis</v>
      </c>
      <c r="M276" s="5" t="str">
        <f>MID(K276,FIND(",",K276)+2,LEN(K276))</f>
        <v>13:00 - 13:50</v>
      </c>
      <c r="N276" s="7" t="s">
        <v>224</v>
      </c>
    </row>
    <row r="277" spans="2:14" ht="30" hidden="1" customHeight="1" x14ac:dyDescent="0.3">
      <c r="B277" s="2">
        <v>32</v>
      </c>
      <c r="C277" s="2" t="s">
        <v>548</v>
      </c>
      <c r="D277" s="2">
        <v>73</v>
      </c>
      <c r="E277" s="2">
        <v>34</v>
      </c>
      <c r="F277" s="1" t="s">
        <v>534</v>
      </c>
      <c r="G277" s="1" t="s">
        <v>173</v>
      </c>
      <c r="H277" s="2" t="s">
        <v>535</v>
      </c>
      <c r="I277" s="11" t="s">
        <v>547</v>
      </c>
      <c r="J277" s="1" t="s">
        <v>60</v>
      </c>
      <c r="K277" s="1" t="s">
        <v>263</v>
      </c>
      <c r="L277" s="2" t="str">
        <f>LEFT(K277,FIND( ",",K277)-1)</f>
        <v>Kamis</v>
      </c>
      <c r="M277" s="2" t="str">
        <f>MID(K277,FIND(",",K277)+2,LEN(K277))</f>
        <v>13:00 - 13:50</v>
      </c>
      <c r="N277" s="1" t="s">
        <v>177</v>
      </c>
    </row>
    <row r="278" spans="2:14" ht="30" hidden="1" customHeight="1" x14ac:dyDescent="0.3">
      <c r="B278" s="5">
        <v>33</v>
      </c>
      <c r="C278" s="5" t="s">
        <v>555</v>
      </c>
      <c r="D278" s="5">
        <v>61</v>
      </c>
      <c r="E278" s="5">
        <v>29</v>
      </c>
      <c r="F278" s="7" t="s">
        <v>534</v>
      </c>
      <c r="G278" s="7" t="s">
        <v>173</v>
      </c>
      <c r="H278" s="5" t="s">
        <v>535</v>
      </c>
      <c r="I278" s="10" t="s">
        <v>561</v>
      </c>
      <c r="J278" s="7" t="s">
        <v>255</v>
      </c>
      <c r="K278" s="7" t="s">
        <v>263</v>
      </c>
      <c r="L278" s="5" t="str">
        <f>LEFT(K278,FIND( ",",K278)-1)</f>
        <v>Kamis</v>
      </c>
      <c r="M278" s="5" t="str">
        <f>MID(K278,FIND(",",K278)+2,LEN(K278))</f>
        <v>13:00 - 13:50</v>
      </c>
      <c r="N278" s="7" t="s">
        <v>177</v>
      </c>
    </row>
    <row r="279" spans="2:14" ht="30" hidden="1" customHeight="1" x14ac:dyDescent="0.3">
      <c r="B279" s="5">
        <v>33</v>
      </c>
      <c r="C279" s="5" t="s">
        <v>555</v>
      </c>
      <c r="D279" s="5">
        <v>61</v>
      </c>
      <c r="E279" s="5">
        <v>29</v>
      </c>
      <c r="F279" s="7" t="s">
        <v>534</v>
      </c>
      <c r="G279" s="7" t="s">
        <v>173</v>
      </c>
      <c r="H279" s="5" t="s">
        <v>535</v>
      </c>
      <c r="I279" s="10" t="s">
        <v>561</v>
      </c>
      <c r="J279" s="7" t="s">
        <v>471</v>
      </c>
      <c r="K279" s="7" t="s">
        <v>263</v>
      </c>
      <c r="L279" s="5" t="str">
        <f>LEFT(K279,FIND( ",",K279)-1)</f>
        <v>Kamis</v>
      </c>
      <c r="M279" s="5" t="str">
        <f>MID(K279,FIND(",",K279)+2,LEN(K279))</f>
        <v>13:00 - 13:50</v>
      </c>
      <c r="N279" s="7" t="s">
        <v>177</v>
      </c>
    </row>
    <row r="280" spans="2:14" ht="30" customHeight="1" x14ac:dyDescent="0.3">
      <c r="B280" s="2">
        <v>30</v>
      </c>
      <c r="C280" s="2" t="s">
        <v>519</v>
      </c>
      <c r="D280" s="2">
        <v>80</v>
      </c>
      <c r="E280" s="2">
        <v>8</v>
      </c>
      <c r="F280" s="1" t="s">
        <v>323</v>
      </c>
      <c r="G280" s="1" t="s">
        <v>220</v>
      </c>
      <c r="H280" s="2" t="s">
        <v>324</v>
      </c>
      <c r="I280" s="11" t="s">
        <v>325</v>
      </c>
      <c r="J280" s="1" t="s">
        <v>225</v>
      </c>
      <c r="K280" s="1" t="s">
        <v>195</v>
      </c>
      <c r="L280" s="2" t="str">
        <f>LEFT(K280,FIND( ",",K280)-1)</f>
        <v>Rabu</v>
      </c>
      <c r="M280" s="2" t="str">
        <f>MID(K280,FIND(",",K280)+2,LEN(K280))</f>
        <v>09:00 - 09:50</v>
      </c>
      <c r="N280" s="1" t="s">
        <v>224</v>
      </c>
    </row>
    <row r="281" spans="2:14" ht="30" customHeight="1" x14ac:dyDescent="0.3">
      <c r="B281" s="2">
        <v>30</v>
      </c>
      <c r="C281" s="2" t="s">
        <v>519</v>
      </c>
      <c r="D281" s="2">
        <v>80</v>
      </c>
      <c r="E281" s="2">
        <v>40</v>
      </c>
      <c r="F281" s="1" t="s">
        <v>297</v>
      </c>
      <c r="G281" s="1" t="s">
        <v>220</v>
      </c>
      <c r="H281" s="2" t="s">
        <v>298</v>
      </c>
      <c r="I281" s="11" t="s">
        <v>522</v>
      </c>
      <c r="J281" s="1" t="s">
        <v>190</v>
      </c>
      <c r="K281" s="1" t="s">
        <v>31</v>
      </c>
      <c r="L281" s="2" t="str">
        <f>LEFT(K281,FIND( ",",K281)-1)</f>
        <v>Rabu</v>
      </c>
      <c r="M281" s="2" t="str">
        <f>MID(K281,FIND(",",K281)+2,LEN(K281))</f>
        <v>10:00 - 11:40</v>
      </c>
      <c r="N281" s="1" t="s">
        <v>224</v>
      </c>
    </row>
    <row r="282" spans="2:14" ht="30" customHeight="1" x14ac:dyDescent="0.3">
      <c r="B282" s="2">
        <v>30</v>
      </c>
      <c r="C282" s="2" t="s">
        <v>519</v>
      </c>
      <c r="D282" s="2">
        <v>80</v>
      </c>
      <c r="E282" s="2">
        <v>48</v>
      </c>
      <c r="F282" s="1" t="s">
        <v>297</v>
      </c>
      <c r="G282" s="1" t="s">
        <v>220</v>
      </c>
      <c r="H282" s="2" t="s">
        <v>298</v>
      </c>
      <c r="I282" s="11" t="s">
        <v>523</v>
      </c>
      <c r="J282" s="1" t="s">
        <v>472</v>
      </c>
      <c r="K282" s="1" t="s">
        <v>196</v>
      </c>
      <c r="L282" s="2" t="str">
        <f>LEFT(K282,FIND( ",",K282)-1)</f>
        <v>Rabu</v>
      </c>
      <c r="M282" s="2" t="str">
        <f>MID(K282,FIND(",",K282)+2,LEN(K282))</f>
        <v>14:00 - 15:40</v>
      </c>
      <c r="N282" s="1" t="s">
        <v>224</v>
      </c>
    </row>
    <row r="283" spans="2:14" ht="30" hidden="1" customHeight="1" x14ac:dyDescent="0.3">
      <c r="B283" s="2">
        <v>30</v>
      </c>
      <c r="C283" s="2" t="s">
        <v>519</v>
      </c>
      <c r="D283" s="2">
        <v>80</v>
      </c>
      <c r="E283" s="2">
        <v>20</v>
      </c>
      <c r="F283" s="1" t="s">
        <v>492</v>
      </c>
      <c r="G283" s="1" t="s">
        <v>220</v>
      </c>
      <c r="H283" s="2" t="s">
        <v>493</v>
      </c>
      <c r="I283" s="11" t="s">
        <v>524</v>
      </c>
      <c r="J283" s="1" t="s">
        <v>182</v>
      </c>
      <c r="K283" s="1" t="s">
        <v>29</v>
      </c>
      <c r="L283" s="2" t="str">
        <f>LEFT(K283,FIND( ",",K283)-1)</f>
        <v>Selasa</v>
      </c>
      <c r="M283" s="2" t="str">
        <f>MID(K283,FIND(",",K283)+2,LEN(K283))</f>
        <v>08:00 - 09:40</v>
      </c>
      <c r="N283" s="1" t="s">
        <v>224</v>
      </c>
    </row>
    <row r="284" spans="2:14" ht="30" hidden="1" customHeight="1" x14ac:dyDescent="0.3">
      <c r="B284" s="2">
        <v>30</v>
      </c>
      <c r="C284" s="2" t="s">
        <v>519</v>
      </c>
      <c r="D284" s="2">
        <v>80</v>
      </c>
      <c r="E284" s="2">
        <v>20</v>
      </c>
      <c r="F284" s="1" t="s">
        <v>492</v>
      </c>
      <c r="G284" s="1" t="s">
        <v>220</v>
      </c>
      <c r="H284" s="2" t="s">
        <v>493</v>
      </c>
      <c r="I284" s="11" t="s">
        <v>524</v>
      </c>
      <c r="J284" s="1" t="s">
        <v>433</v>
      </c>
      <c r="K284" s="1" t="s">
        <v>29</v>
      </c>
      <c r="L284" s="2" t="str">
        <f>LEFT(K284,FIND( ",",K284)-1)</f>
        <v>Selasa</v>
      </c>
      <c r="M284" s="2" t="str">
        <f>MID(K284,FIND(",",K284)+2,LEN(K284))</f>
        <v>08:00 - 09:40</v>
      </c>
      <c r="N284" s="1" t="s">
        <v>224</v>
      </c>
    </row>
    <row r="285" spans="2:14" ht="30" hidden="1" customHeight="1" x14ac:dyDescent="0.3">
      <c r="B285" s="2">
        <v>30</v>
      </c>
      <c r="C285" s="2" t="s">
        <v>519</v>
      </c>
      <c r="D285" s="2">
        <v>80</v>
      </c>
      <c r="E285" s="2">
        <v>18</v>
      </c>
      <c r="F285" s="1" t="s">
        <v>492</v>
      </c>
      <c r="G285" s="1" t="s">
        <v>220</v>
      </c>
      <c r="H285" s="2" t="s">
        <v>493</v>
      </c>
      <c r="I285" s="11" t="s">
        <v>525</v>
      </c>
      <c r="J285" s="1" t="s">
        <v>433</v>
      </c>
      <c r="K285" s="1" t="s">
        <v>37</v>
      </c>
      <c r="L285" s="2" t="str">
        <f>LEFT(K285,FIND( ",",K285)-1)</f>
        <v>Selasa</v>
      </c>
      <c r="M285" s="2" t="str">
        <f>MID(K285,FIND(",",K285)+2,LEN(K285))</f>
        <v>10:00 - 11:40</v>
      </c>
      <c r="N285" s="1" t="s">
        <v>224</v>
      </c>
    </row>
    <row r="286" spans="2:14" ht="30" hidden="1" customHeight="1" x14ac:dyDescent="0.3">
      <c r="B286" s="2">
        <v>30</v>
      </c>
      <c r="C286" s="2" t="s">
        <v>519</v>
      </c>
      <c r="D286" s="2">
        <v>80</v>
      </c>
      <c r="E286" s="2">
        <v>13</v>
      </c>
      <c r="F286" s="1" t="s">
        <v>497</v>
      </c>
      <c r="G286" s="1" t="s">
        <v>173</v>
      </c>
      <c r="H286" s="2" t="s">
        <v>498</v>
      </c>
      <c r="I286" s="11" t="s">
        <v>526</v>
      </c>
      <c r="J286" s="1" t="s">
        <v>18</v>
      </c>
      <c r="K286" s="1" t="s">
        <v>42</v>
      </c>
      <c r="L286" s="2" t="str">
        <f>LEFT(K286,FIND( ",",K286)-1)</f>
        <v>Selasa</v>
      </c>
      <c r="M286" s="2" t="str">
        <f>MID(K286,FIND(",",K286)+2,LEN(K286))</f>
        <v>13:00 - 14:40</v>
      </c>
      <c r="N286" s="1" t="s">
        <v>177</v>
      </c>
    </row>
    <row r="287" spans="2:14" ht="30" hidden="1" customHeight="1" x14ac:dyDescent="0.3">
      <c r="B287" s="2">
        <v>30</v>
      </c>
      <c r="C287" s="2" t="s">
        <v>519</v>
      </c>
      <c r="D287" s="2">
        <v>80</v>
      </c>
      <c r="E287" s="2">
        <v>10</v>
      </c>
      <c r="F287" s="1" t="s">
        <v>527</v>
      </c>
      <c r="G287" s="1" t="s">
        <v>220</v>
      </c>
      <c r="H287" s="2" t="s">
        <v>528</v>
      </c>
      <c r="I287" s="11" t="s">
        <v>529</v>
      </c>
      <c r="J287" s="1" t="s">
        <v>530</v>
      </c>
      <c r="K287" s="1" t="s">
        <v>429</v>
      </c>
      <c r="L287" s="2" t="str">
        <f>LEFT(K287,FIND( ",",K287)-1)</f>
        <v>Selasa</v>
      </c>
      <c r="M287" s="2" t="str">
        <f>MID(K287,FIND(",",K287)+2,LEN(K287))</f>
        <v>15:00 - 15:50</v>
      </c>
      <c r="N287" s="1" t="s">
        <v>224</v>
      </c>
    </row>
    <row r="288" spans="2:14" ht="30" hidden="1" customHeight="1" x14ac:dyDescent="0.3">
      <c r="B288" s="2">
        <v>30</v>
      </c>
      <c r="C288" s="2" t="s">
        <v>519</v>
      </c>
      <c r="D288" s="2">
        <v>80</v>
      </c>
      <c r="E288" s="2">
        <v>13</v>
      </c>
      <c r="F288" s="1" t="s">
        <v>531</v>
      </c>
      <c r="G288" s="1" t="s">
        <v>220</v>
      </c>
      <c r="H288" s="2" t="s">
        <v>532</v>
      </c>
      <c r="I288" s="11" t="s">
        <v>533</v>
      </c>
      <c r="J288" s="1" t="s">
        <v>387</v>
      </c>
      <c r="K288" s="1" t="s">
        <v>257</v>
      </c>
      <c r="L288" s="2" t="str">
        <f>LEFT(K288,FIND( ",",K288)-1)</f>
        <v>Selasa</v>
      </c>
      <c r="M288" s="2" t="str">
        <f>MID(K288,FIND(",",K288)+2,LEN(K288))</f>
        <v>16:00 - 16:50</v>
      </c>
      <c r="N288" s="1" t="s">
        <v>224</v>
      </c>
    </row>
    <row r="289" spans="2:14" ht="30" hidden="1" customHeight="1" x14ac:dyDescent="0.3">
      <c r="B289" s="2">
        <v>30</v>
      </c>
      <c r="C289" s="2" t="s">
        <v>519</v>
      </c>
      <c r="D289" s="2">
        <v>80</v>
      </c>
      <c r="E289" s="2">
        <v>58</v>
      </c>
      <c r="F289" s="1" t="s">
        <v>172</v>
      </c>
      <c r="G289" s="1" t="s">
        <v>220</v>
      </c>
      <c r="H289" s="2" t="s">
        <v>174</v>
      </c>
      <c r="I289" s="11" t="s">
        <v>520</v>
      </c>
      <c r="J289" s="1" t="s">
        <v>521</v>
      </c>
      <c r="K289" s="1" t="s">
        <v>5</v>
      </c>
      <c r="L289" s="2" t="str">
        <f>LEFT(K289,FIND( ",",K289)-1)</f>
        <v>Senin</v>
      </c>
      <c r="M289" s="2" t="str">
        <f>MID(K289,FIND(",",K289)+2,LEN(K289))</f>
        <v>08:00 - 09:40</v>
      </c>
      <c r="N289" s="1" t="s">
        <v>224</v>
      </c>
    </row>
    <row r="290" spans="2:14" ht="30" hidden="1" customHeight="1" x14ac:dyDescent="0.3">
      <c r="B290" s="2">
        <v>30</v>
      </c>
      <c r="C290" s="2" t="s">
        <v>519</v>
      </c>
      <c r="D290" s="2">
        <v>80</v>
      </c>
      <c r="E290" s="2">
        <v>40</v>
      </c>
      <c r="F290" s="1" t="s">
        <v>297</v>
      </c>
      <c r="G290" s="1" t="s">
        <v>220</v>
      </c>
      <c r="H290" s="2" t="s">
        <v>298</v>
      </c>
      <c r="I290" s="11" t="s">
        <v>522</v>
      </c>
      <c r="J290" s="1" t="s">
        <v>190</v>
      </c>
      <c r="K290" s="1" t="s">
        <v>12</v>
      </c>
      <c r="L290" s="2" t="str">
        <f>LEFT(K290,FIND( ",",K290)-1)</f>
        <v>Senin</v>
      </c>
      <c r="M290" s="2" t="str">
        <f>MID(K290,FIND(",",K290)+2,LEN(K290))</f>
        <v>10:00 - 11:40</v>
      </c>
      <c r="N290" s="1" t="s">
        <v>224</v>
      </c>
    </row>
    <row r="291" spans="2:14" ht="30" hidden="1" customHeight="1" x14ac:dyDescent="0.3">
      <c r="B291" s="2">
        <v>30</v>
      </c>
      <c r="C291" s="2" t="s">
        <v>519</v>
      </c>
      <c r="D291" s="2">
        <v>80</v>
      </c>
      <c r="E291" s="2">
        <v>48</v>
      </c>
      <c r="F291" s="1" t="s">
        <v>297</v>
      </c>
      <c r="G291" s="1" t="s">
        <v>220</v>
      </c>
      <c r="H291" s="2" t="s">
        <v>298</v>
      </c>
      <c r="I291" s="11" t="s">
        <v>523</v>
      </c>
      <c r="J291" s="1" t="s">
        <v>472</v>
      </c>
      <c r="K291" s="1" t="s">
        <v>19</v>
      </c>
      <c r="L291" s="2" t="str">
        <f>LEFT(K291,FIND( ",",K291)-1)</f>
        <v>Senin</v>
      </c>
      <c r="M291" s="2" t="str">
        <f>MID(K291,FIND(",",K291)+2,LEN(K291))</f>
        <v>13:00 - 14:40</v>
      </c>
      <c r="N291" s="1" t="s">
        <v>224</v>
      </c>
    </row>
    <row r="292" spans="2:14" ht="30" hidden="1" customHeight="1" x14ac:dyDescent="0.3">
      <c r="B292" s="5">
        <v>31</v>
      </c>
      <c r="C292" s="5" t="s">
        <v>537</v>
      </c>
      <c r="D292" s="5">
        <v>80</v>
      </c>
      <c r="E292" s="5">
        <v>41</v>
      </c>
      <c r="F292" s="7" t="s">
        <v>415</v>
      </c>
      <c r="G292" s="7" t="s">
        <v>220</v>
      </c>
      <c r="H292" s="5" t="s">
        <v>416</v>
      </c>
      <c r="I292" s="10" t="s">
        <v>458</v>
      </c>
      <c r="J292" s="7" t="s">
        <v>334</v>
      </c>
      <c r="K292" s="7" t="s">
        <v>285</v>
      </c>
      <c r="L292" s="5" t="str">
        <f>LEFT(K292,FIND( ",",K292)-1)</f>
        <v>Jumat</v>
      </c>
      <c r="M292" s="5" t="str">
        <f>MID(K292,FIND(",",K292)+2,LEN(K292))</f>
        <v>08:00 - 08:50</v>
      </c>
      <c r="N292" s="7" t="s">
        <v>224</v>
      </c>
    </row>
    <row r="293" spans="2:14" ht="30" hidden="1" customHeight="1" x14ac:dyDescent="0.3">
      <c r="B293" s="5">
        <v>31</v>
      </c>
      <c r="C293" s="5" t="s">
        <v>537</v>
      </c>
      <c r="D293" s="5">
        <v>80</v>
      </c>
      <c r="E293" s="5">
        <v>34</v>
      </c>
      <c r="F293" s="7" t="s">
        <v>534</v>
      </c>
      <c r="G293" s="7" t="s">
        <v>173</v>
      </c>
      <c r="H293" s="5" t="s">
        <v>535</v>
      </c>
      <c r="I293" s="10" t="s">
        <v>547</v>
      </c>
      <c r="J293" s="7" t="s">
        <v>60</v>
      </c>
      <c r="K293" s="7" t="s">
        <v>286</v>
      </c>
      <c r="L293" s="5" t="str">
        <f>LEFT(K293,FIND( ",",K293)-1)</f>
        <v>Jumat</v>
      </c>
      <c r="M293" s="5" t="str">
        <f>MID(K293,FIND(",",K293)+2,LEN(K293))</f>
        <v>09:00 - 09:50</v>
      </c>
      <c r="N293" s="7" t="s">
        <v>177</v>
      </c>
    </row>
    <row r="294" spans="2:14" ht="30" hidden="1" customHeight="1" x14ac:dyDescent="0.3">
      <c r="B294" s="5">
        <v>31</v>
      </c>
      <c r="C294" s="5" t="s">
        <v>537</v>
      </c>
      <c r="D294" s="5">
        <v>80</v>
      </c>
      <c r="E294" s="5">
        <v>25</v>
      </c>
      <c r="F294" s="7" t="s">
        <v>359</v>
      </c>
      <c r="G294" s="7" t="s">
        <v>173</v>
      </c>
      <c r="H294" s="5" t="s">
        <v>360</v>
      </c>
      <c r="I294" s="10" t="s">
        <v>546</v>
      </c>
      <c r="J294" s="7" t="s">
        <v>465</v>
      </c>
      <c r="K294" s="7" t="s">
        <v>62</v>
      </c>
      <c r="L294" s="5" t="str">
        <f>LEFT(K294,FIND( ",",K294)-1)</f>
        <v>Jumat</v>
      </c>
      <c r="M294" s="5" t="str">
        <f>MID(K294,FIND(",",K294)+2,LEN(K294))</f>
        <v>10:00 - 11:40</v>
      </c>
      <c r="N294" s="7" t="s">
        <v>177</v>
      </c>
    </row>
    <row r="295" spans="2:14" ht="30" hidden="1" customHeight="1" x14ac:dyDescent="0.3">
      <c r="B295" s="5">
        <v>37</v>
      </c>
      <c r="C295" s="5" t="s">
        <v>593</v>
      </c>
      <c r="D295" s="5">
        <v>40</v>
      </c>
      <c r="E295" s="5">
        <v>32</v>
      </c>
      <c r="F295" s="7" t="s">
        <v>534</v>
      </c>
      <c r="G295" s="7" t="s">
        <v>576</v>
      </c>
      <c r="H295" s="5" t="s">
        <v>535</v>
      </c>
      <c r="I295" s="10" t="s">
        <v>595</v>
      </c>
      <c r="J295" s="7" t="s">
        <v>418</v>
      </c>
      <c r="K295" s="7" t="s">
        <v>263</v>
      </c>
      <c r="L295" s="5" t="str">
        <f>LEFT(K295,FIND( ",",K295)-1)</f>
        <v>Kamis</v>
      </c>
      <c r="M295" s="5" t="str">
        <f>MID(K295,FIND(",",K295)+2,LEN(K295))</f>
        <v>13:00 - 13:50</v>
      </c>
      <c r="N295" s="7" t="s">
        <v>578</v>
      </c>
    </row>
    <row r="296" spans="2:14" ht="30" hidden="1" customHeight="1" x14ac:dyDescent="0.3">
      <c r="B296" s="5">
        <v>19</v>
      </c>
      <c r="C296" s="5" t="s">
        <v>346</v>
      </c>
      <c r="D296" s="5">
        <v>60</v>
      </c>
      <c r="E296" s="5">
        <v>14</v>
      </c>
      <c r="F296" s="7" t="s">
        <v>337</v>
      </c>
      <c r="G296" s="7" t="s">
        <v>173</v>
      </c>
      <c r="H296" s="5" t="s">
        <v>338</v>
      </c>
      <c r="I296" s="10" t="s">
        <v>352</v>
      </c>
      <c r="J296" s="7" t="s">
        <v>340</v>
      </c>
      <c r="K296" s="7" t="s">
        <v>45</v>
      </c>
      <c r="L296" s="5" t="str">
        <f>LEFT(K296,FIND( ",",K296)-1)</f>
        <v>Kamis</v>
      </c>
      <c r="M296" s="5" t="str">
        <f>MID(K296,FIND(",",K296)+2,LEN(K296))</f>
        <v>13:00 - 14:40</v>
      </c>
      <c r="N296" s="7" t="s">
        <v>177</v>
      </c>
    </row>
    <row r="297" spans="2:14" ht="30" hidden="1" customHeight="1" x14ac:dyDescent="0.3">
      <c r="B297" s="2">
        <v>38</v>
      </c>
      <c r="C297" s="2" t="s">
        <v>600</v>
      </c>
      <c r="D297" s="2">
        <v>40</v>
      </c>
      <c r="E297" s="2">
        <v>9</v>
      </c>
      <c r="F297" s="1" t="s">
        <v>359</v>
      </c>
      <c r="G297" s="1" t="s">
        <v>576</v>
      </c>
      <c r="H297" s="2" t="s">
        <v>360</v>
      </c>
      <c r="I297" s="11" t="s">
        <v>605</v>
      </c>
      <c r="J297" s="1" t="s">
        <v>36</v>
      </c>
      <c r="K297" s="1" t="s">
        <v>45</v>
      </c>
      <c r="L297" s="2" t="str">
        <f>LEFT(K297,FIND( ",",K297)-1)</f>
        <v>Kamis</v>
      </c>
      <c r="M297" s="2" t="str">
        <f>MID(K297,FIND(",",K297)+2,LEN(K297))</f>
        <v>13:00 - 14:40</v>
      </c>
      <c r="N297" s="1" t="s">
        <v>578</v>
      </c>
    </row>
    <row r="298" spans="2:14" ht="30" hidden="1" customHeight="1" x14ac:dyDescent="0.3">
      <c r="B298" s="2">
        <v>42</v>
      </c>
      <c r="C298" s="2" t="s">
        <v>612</v>
      </c>
      <c r="D298" s="2">
        <v>80</v>
      </c>
      <c r="E298" s="2">
        <v>43</v>
      </c>
      <c r="F298" s="1" t="s">
        <v>297</v>
      </c>
      <c r="G298" s="1" t="s">
        <v>220</v>
      </c>
      <c r="H298" s="2" t="s">
        <v>298</v>
      </c>
      <c r="I298" s="11" t="s">
        <v>299</v>
      </c>
      <c r="J298" s="1" t="s">
        <v>229</v>
      </c>
      <c r="K298" s="1" t="s">
        <v>45</v>
      </c>
      <c r="L298" s="2" t="str">
        <f>LEFT(K298,FIND( ",",K298)-1)</f>
        <v>Kamis</v>
      </c>
      <c r="M298" s="2" t="str">
        <f>MID(K298,FIND(",",K298)+2,LEN(K298))</f>
        <v>13:00 - 14:40</v>
      </c>
      <c r="N298" s="1" t="s">
        <v>224</v>
      </c>
    </row>
    <row r="299" spans="2:14" ht="30" customHeight="1" x14ac:dyDescent="0.3">
      <c r="B299" s="5">
        <v>31</v>
      </c>
      <c r="C299" s="5" t="s">
        <v>537</v>
      </c>
      <c r="D299" s="5">
        <v>80</v>
      </c>
      <c r="E299" s="5">
        <v>29</v>
      </c>
      <c r="F299" s="7" t="s">
        <v>264</v>
      </c>
      <c r="G299" s="7" t="s">
        <v>220</v>
      </c>
      <c r="H299" s="5" t="s">
        <v>265</v>
      </c>
      <c r="I299" s="10" t="s">
        <v>540</v>
      </c>
      <c r="J299" s="7" t="s">
        <v>541</v>
      </c>
      <c r="K299" s="7" t="s">
        <v>31</v>
      </c>
      <c r="L299" s="5" t="str">
        <f>LEFT(K299,FIND( ",",K299)-1)</f>
        <v>Rabu</v>
      </c>
      <c r="M299" s="5" t="str">
        <f>MID(K299,FIND(",",K299)+2,LEN(K299))</f>
        <v>10:00 - 11:40</v>
      </c>
      <c r="N299" s="7" t="s">
        <v>224</v>
      </c>
    </row>
    <row r="300" spans="2:14" ht="30" customHeight="1" x14ac:dyDescent="0.3">
      <c r="B300" s="5">
        <v>31</v>
      </c>
      <c r="C300" s="5" t="s">
        <v>537</v>
      </c>
      <c r="D300" s="5">
        <v>80</v>
      </c>
      <c r="E300" s="5">
        <v>52</v>
      </c>
      <c r="F300" s="7" t="s">
        <v>297</v>
      </c>
      <c r="G300" s="7" t="s">
        <v>220</v>
      </c>
      <c r="H300" s="5" t="s">
        <v>298</v>
      </c>
      <c r="I300" s="10" t="s">
        <v>542</v>
      </c>
      <c r="J300" s="7" t="s">
        <v>290</v>
      </c>
      <c r="K300" s="7" t="s">
        <v>196</v>
      </c>
      <c r="L300" s="5" t="str">
        <f>LEFT(K300,FIND( ",",K300)-1)</f>
        <v>Rabu</v>
      </c>
      <c r="M300" s="5" t="str">
        <f>MID(K300,FIND(",",K300)+2,LEN(K300))</f>
        <v>14:00 - 15:40</v>
      </c>
      <c r="N300" s="7" t="s">
        <v>224</v>
      </c>
    </row>
    <row r="301" spans="2:14" ht="30" customHeight="1" x14ac:dyDescent="0.3">
      <c r="B301" s="5">
        <v>31</v>
      </c>
      <c r="C301" s="5" t="s">
        <v>537</v>
      </c>
      <c r="D301" s="5">
        <v>80</v>
      </c>
      <c r="E301" s="5">
        <v>52</v>
      </c>
      <c r="F301" s="7" t="s">
        <v>297</v>
      </c>
      <c r="G301" s="7" t="s">
        <v>220</v>
      </c>
      <c r="H301" s="5" t="s">
        <v>298</v>
      </c>
      <c r="I301" s="10" t="s">
        <v>542</v>
      </c>
      <c r="J301" s="7" t="s">
        <v>471</v>
      </c>
      <c r="K301" s="7" t="s">
        <v>196</v>
      </c>
      <c r="L301" s="5" t="str">
        <f>LEFT(K301,FIND( ",",K301)-1)</f>
        <v>Rabu</v>
      </c>
      <c r="M301" s="5" t="str">
        <f>MID(K301,FIND(",",K301)+2,LEN(K301))</f>
        <v>14:00 - 15:40</v>
      </c>
      <c r="N301" s="7" t="s">
        <v>224</v>
      </c>
    </row>
    <row r="302" spans="2:14" ht="30" customHeight="1" x14ac:dyDescent="0.3">
      <c r="B302" s="5">
        <v>31</v>
      </c>
      <c r="C302" s="5" t="s">
        <v>537</v>
      </c>
      <c r="D302" s="5">
        <v>80</v>
      </c>
      <c r="E302" s="5">
        <v>25</v>
      </c>
      <c r="F302" s="7" t="s">
        <v>359</v>
      </c>
      <c r="G302" s="7" t="s">
        <v>173</v>
      </c>
      <c r="H302" s="5" t="s">
        <v>360</v>
      </c>
      <c r="I302" s="10" t="s">
        <v>546</v>
      </c>
      <c r="J302" s="7" t="s">
        <v>465</v>
      </c>
      <c r="K302" s="7" t="s">
        <v>320</v>
      </c>
      <c r="L302" s="5" t="str">
        <f>LEFT(K302,FIND( ",",K302)-1)</f>
        <v>Rabu</v>
      </c>
      <c r="M302" s="5" t="str">
        <f>MID(K302,FIND(",",K302)+2,LEN(K302))</f>
        <v>16:00 - 17:40</v>
      </c>
      <c r="N302" s="7" t="s">
        <v>177</v>
      </c>
    </row>
    <row r="303" spans="2:14" ht="30" hidden="1" customHeight="1" x14ac:dyDescent="0.3">
      <c r="B303" s="5">
        <v>31</v>
      </c>
      <c r="C303" s="5" t="s">
        <v>537</v>
      </c>
      <c r="D303" s="5">
        <v>80</v>
      </c>
      <c r="E303" s="5">
        <v>3</v>
      </c>
      <c r="F303" s="7" t="s">
        <v>219</v>
      </c>
      <c r="G303" s="7" t="s">
        <v>220</v>
      </c>
      <c r="H303" s="5" t="s">
        <v>221</v>
      </c>
      <c r="I303" s="10" t="s">
        <v>482</v>
      </c>
      <c r="J303" s="7" t="s">
        <v>365</v>
      </c>
      <c r="K303" s="7" t="s">
        <v>37</v>
      </c>
      <c r="L303" s="5" t="str">
        <f>LEFT(K303,FIND( ",",K303)-1)</f>
        <v>Selasa</v>
      </c>
      <c r="M303" s="5" t="str">
        <f>MID(K303,FIND(",",K303)+2,LEN(K303))</f>
        <v>10:00 - 11:40</v>
      </c>
      <c r="N303" s="7" t="s">
        <v>224</v>
      </c>
    </row>
    <row r="304" spans="2:14" ht="30" hidden="1" customHeight="1" x14ac:dyDescent="0.3">
      <c r="B304" s="5">
        <v>31</v>
      </c>
      <c r="C304" s="5" t="s">
        <v>537</v>
      </c>
      <c r="D304" s="5">
        <v>80</v>
      </c>
      <c r="E304" s="5">
        <v>33</v>
      </c>
      <c r="F304" s="7" t="s">
        <v>214</v>
      </c>
      <c r="G304" s="7" t="s">
        <v>173</v>
      </c>
      <c r="H304" s="5" t="s">
        <v>215</v>
      </c>
      <c r="I304" s="10" t="s">
        <v>543</v>
      </c>
      <c r="J304" s="7" t="s">
        <v>544</v>
      </c>
      <c r="K304" s="7" t="s">
        <v>42</v>
      </c>
      <c r="L304" s="5" t="str">
        <f>LEFT(K304,FIND( ",",K304)-1)</f>
        <v>Selasa</v>
      </c>
      <c r="M304" s="5" t="str">
        <f>MID(K304,FIND(",",K304)+2,LEN(K304))</f>
        <v>13:00 - 14:40</v>
      </c>
      <c r="N304" s="7" t="s">
        <v>177</v>
      </c>
    </row>
    <row r="305" spans="2:14" ht="30" hidden="1" customHeight="1" x14ac:dyDescent="0.3">
      <c r="B305" s="5">
        <v>31</v>
      </c>
      <c r="C305" s="5" t="s">
        <v>537</v>
      </c>
      <c r="D305" s="5">
        <v>80</v>
      </c>
      <c r="E305" s="5">
        <v>33</v>
      </c>
      <c r="F305" s="7" t="s">
        <v>214</v>
      </c>
      <c r="G305" s="7" t="s">
        <v>173</v>
      </c>
      <c r="H305" s="5" t="s">
        <v>215</v>
      </c>
      <c r="I305" s="10" t="s">
        <v>543</v>
      </c>
      <c r="J305" s="7" t="s">
        <v>340</v>
      </c>
      <c r="K305" s="7" t="s">
        <v>42</v>
      </c>
      <c r="L305" s="5" t="str">
        <f>LEFT(K305,FIND( ",",K305)-1)</f>
        <v>Selasa</v>
      </c>
      <c r="M305" s="5" t="str">
        <f>MID(K305,FIND(",",K305)+2,LEN(K305))</f>
        <v>13:00 - 14:40</v>
      </c>
      <c r="N305" s="7" t="s">
        <v>177</v>
      </c>
    </row>
    <row r="306" spans="2:14" ht="30" hidden="1" customHeight="1" x14ac:dyDescent="0.3">
      <c r="B306" s="5">
        <v>31</v>
      </c>
      <c r="C306" s="5" t="s">
        <v>537</v>
      </c>
      <c r="D306" s="5">
        <v>80</v>
      </c>
      <c r="E306" s="5">
        <v>30</v>
      </c>
      <c r="F306" s="7" t="s">
        <v>214</v>
      </c>
      <c r="G306" s="7" t="s">
        <v>173</v>
      </c>
      <c r="H306" s="5" t="s">
        <v>215</v>
      </c>
      <c r="I306" s="10" t="s">
        <v>545</v>
      </c>
      <c r="J306" s="7" t="s">
        <v>544</v>
      </c>
      <c r="K306" s="7" t="s">
        <v>194</v>
      </c>
      <c r="L306" s="5" t="str">
        <f>LEFT(K306,FIND( ",",K306)-1)</f>
        <v>Selasa</v>
      </c>
      <c r="M306" s="5" t="str">
        <f>MID(K306,FIND(",",K306)+2,LEN(K306))</f>
        <v>15:00 - 16:40</v>
      </c>
      <c r="N306" s="7" t="s">
        <v>177</v>
      </c>
    </row>
    <row r="307" spans="2:14" ht="30" hidden="1" customHeight="1" x14ac:dyDescent="0.3">
      <c r="B307" s="5">
        <v>31</v>
      </c>
      <c r="C307" s="5" t="s">
        <v>537</v>
      </c>
      <c r="D307" s="5">
        <v>80</v>
      </c>
      <c r="E307" s="5">
        <v>20</v>
      </c>
      <c r="F307" s="7" t="s">
        <v>172</v>
      </c>
      <c r="G307" s="7" t="s">
        <v>220</v>
      </c>
      <c r="H307" s="5" t="s">
        <v>174</v>
      </c>
      <c r="I307" s="10" t="s">
        <v>538</v>
      </c>
      <c r="J307" s="7" t="s">
        <v>539</v>
      </c>
      <c r="K307" s="7" t="s">
        <v>5</v>
      </c>
      <c r="L307" s="5" t="str">
        <f>LEFT(K307,FIND( ",",K307)-1)</f>
        <v>Senin</v>
      </c>
      <c r="M307" s="5" t="str">
        <f>MID(K307,FIND(",",K307)+2,LEN(K307))</f>
        <v>08:00 - 09:40</v>
      </c>
      <c r="N307" s="7" t="s">
        <v>224</v>
      </c>
    </row>
    <row r="308" spans="2:14" ht="30" hidden="1" customHeight="1" x14ac:dyDescent="0.3">
      <c r="B308" s="5">
        <v>31</v>
      </c>
      <c r="C308" s="5" t="s">
        <v>537</v>
      </c>
      <c r="D308" s="5">
        <v>80</v>
      </c>
      <c r="E308" s="5">
        <v>29</v>
      </c>
      <c r="F308" s="7" t="s">
        <v>264</v>
      </c>
      <c r="G308" s="7" t="s">
        <v>220</v>
      </c>
      <c r="H308" s="5" t="s">
        <v>265</v>
      </c>
      <c r="I308" s="10" t="s">
        <v>540</v>
      </c>
      <c r="J308" s="7" t="s">
        <v>541</v>
      </c>
      <c r="K308" s="7" t="s">
        <v>12</v>
      </c>
      <c r="L308" s="5" t="str">
        <f>LEFT(K308,FIND( ",",K308)-1)</f>
        <v>Senin</v>
      </c>
      <c r="M308" s="5" t="str">
        <f>MID(K308,FIND(",",K308)+2,LEN(K308))</f>
        <v>10:00 - 11:40</v>
      </c>
      <c r="N308" s="7" t="s">
        <v>224</v>
      </c>
    </row>
    <row r="309" spans="2:14" ht="30" hidden="1" customHeight="1" x14ac:dyDescent="0.3">
      <c r="B309" s="5">
        <v>31</v>
      </c>
      <c r="C309" s="5" t="s">
        <v>537</v>
      </c>
      <c r="D309" s="5">
        <v>80</v>
      </c>
      <c r="E309" s="5">
        <v>52</v>
      </c>
      <c r="F309" s="7" t="s">
        <v>297</v>
      </c>
      <c r="G309" s="7" t="s">
        <v>220</v>
      </c>
      <c r="H309" s="5" t="s">
        <v>298</v>
      </c>
      <c r="I309" s="10" t="s">
        <v>542</v>
      </c>
      <c r="J309" s="7" t="s">
        <v>290</v>
      </c>
      <c r="K309" s="7" t="s">
        <v>19</v>
      </c>
      <c r="L309" s="5" t="str">
        <f>LEFT(K309,FIND( ",",K309)-1)</f>
        <v>Senin</v>
      </c>
      <c r="M309" s="5" t="str">
        <f>MID(K309,FIND(",",K309)+2,LEN(K309))</f>
        <v>13:00 - 14:40</v>
      </c>
      <c r="N309" s="7" t="s">
        <v>224</v>
      </c>
    </row>
    <row r="310" spans="2:14" ht="30" hidden="1" customHeight="1" x14ac:dyDescent="0.3">
      <c r="B310" s="5">
        <v>31</v>
      </c>
      <c r="C310" s="5" t="s">
        <v>537</v>
      </c>
      <c r="D310" s="5">
        <v>80</v>
      </c>
      <c r="E310" s="5">
        <v>52</v>
      </c>
      <c r="F310" s="7" t="s">
        <v>297</v>
      </c>
      <c r="G310" s="7" t="s">
        <v>220</v>
      </c>
      <c r="H310" s="5" t="s">
        <v>298</v>
      </c>
      <c r="I310" s="10" t="s">
        <v>542</v>
      </c>
      <c r="J310" s="7" t="s">
        <v>471</v>
      </c>
      <c r="K310" s="7" t="s">
        <v>19</v>
      </c>
      <c r="L310" s="5" t="str">
        <f>LEFT(K310,FIND( ",",K310)-1)</f>
        <v>Senin</v>
      </c>
      <c r="M310" s="5" t="str">
        <f>MID(K310,FIND(",",K310)+2,LEN(K310))</f>
        <v>13:00 - 14:40</v>
      </c>
      <c r="N310" s="7" t="s">
        <v>224</v>
      </c>
    </row>
    <row r="311" spans="2:14" ht="30" hidden="1" customHeight="1" x14ac:dyDescent="0.3">
      <c r="B311" s="2">
        <v>32</v>
      </c>
      <c r="C311" s="2" t="s">
        <v>548</v>
      </c>
      <c r="D311" s="2">
        <v>73</v>
      </c>
      <c r="E311" s="2">
        <v>40</v>
      </c>
      <c r="F311" s="1" t="s">
        <v>415</v>
      </c>
      <c r="G311" s="1" t="s">
        <v>220</v>
      </c>
      <c r="H311" s="2" t="s">
        <v>416</v>
      </c>
      <c r="I311" s="11" t="s">
        <v>466</v>
      </c>
      <c r="J311" s="1" t="s">
        <v>465</v>
      </c>
      <c r="K311" s="1" t="s">
        <v>285</v>
      </c>
      <c r="L311" s="2" t="str">
        <f>LEFT(K311,FIND( ",",K311)-1)</f>
        <v>Jumat</v>
      </c>
      <c r="M311" s="2" t="str">
        <f>MID(K311,FIND(",",K311)+2,LEN(K311))</f>
        <v>08:00 - 08:50</v>
      </c>
      <c r="N311" s="1" t="s">
        <v>224</v>
      </c>
    </row>
    <row r="312" spans="2:14" ht="30" hidden="1" customHeight="1" x14ac:dyDescent="0.3">
      <c r="B312" s="2">
        <v>32</v>
      </c>
      <c r="C312" s="2" t="s">
        <v>548</v>
      </c>
      <c r="D312" s="2">
        <v>73</v>
      </c>
      <c r="E312" s="2">
        <v>31</v>
      </c>
      <c r="F312" s="1" t="s">
        <v>534</v>
      </c>
      <c r="G312" s="1" t="s">
        <v>173</v>
      </c>
      <c r="H312" s="2" t="s">
        <v>535</v>
      </c>
      <c r="I312" s="11" t="s">
        <v>553</v>
      </c>
      <c r="J312" s="1" t="s">
        <v>60</v>
      </c>
      <c r="K312" s="1" t="s">
        <v>286</v>
      </c>
      <c r="L312" s="2" t="str">
        <f>LEFT(K312,FIND( ",",K312)-1)</f>
        <v>Jumat</v>
      </c>
      <c r="M312" s="2" t="str">
        <f>MID(K312,FIND(",",K312)+2,LEN(K312))</f>
        <v>09:00 - 09:50</v>
      </c>
      <c r="N312" s="1" t="s">
        <v>177</v>
      </c>
    </row>
    <row r="313" spans="2:14" ht="30" hidden="1" customHeight="1" x14ac:dyDescent="0.3">
      <c r="B313" s="2">
        <v>32</v>
      </c>
      <c r="C313" s="2" t="s">
        <v>548</v>
      </c>
      <c r="D313" s="2">
        <v>73</v>
      </c>
      <c r="E313" s="2">
        <v>22</v>
      </c>
      <c r="F313" s="1" t="s">
        <v>531</v>
      </c>
      <c r="G313" s="1" t="s">
        <v>220</v>
      </c>
      <c r="H313" s="2" t="s">
        <v>532</v>
      </c>
      <c r="I313" s="11" t="s">
        <v>554</v>
      </c>
      <c r="J313" s="1" t="s">
        <v>462</v>
      </c>
      <c r="K313" s="1" t="s">
        <v>370</v>
      </c>
      <c r="L313" s="2" t="str">
        <f>LEFT(K313,FIND( ",",K313)-1)</f>
        <v>Jumat</v>
      </c>
      <c r="M313" s="2" t="str">
        <f>MID(K313,FIND(",",K313)+2,LEN(K313))</f>
        <v>15:00 - 16:40</v>
      </c>
      <c r="N313" s="1" t="s">
        <v>224</v>
      </c>
    </row>
    <row r="314" spans="2:14" ht="30" hidden="1" customHeight="1" x14ac:dyDescent="0.3">
      <c r="B314" s="5">
        <v>43</v>
      </c>
      <c r="C314" s="5" t="s">
        <v>615</v>
      </c>
      <c r="D314" s="5">
        <v>70</v>
      </c>
      <c r="E314" s="5">
        <v>47</v>
      </c>
      <c r="F314" s="7" t="s">
        <v>297</v>
      </c>
      <c r="G314" s="7" t="s">
        <v>220</v>
      </c>
      <c r="H314" s="5" t="s">
        <v>298</v>
      </c>
      <c r="I314" s="10" t="s">
        <v>423</v>
      </c>
      <c r="J314" s="7" t="s">
        <v>362</v>
      </c>
      <c r="K314" s="7" t="s">
        <v>45</v>
      </c>
      <c r="L314" s="5" t="str">
        <f>LEFT(K314,FIND( ",",K314)-1)</f>
        <v>Kamis</v>
      </c>
      <c r="M314" s="5" t="str">
        <f>MID(K314,FIND(",",K314)+2,LEN(K314))</f>
        <v>13:00 - 14:40</v>
      </c>
      <c r="N314" s="7" t="s">
        <v>224</v>
      </c>
    </row>
    <row r="315" spans="2:14" ht="30" hidden="1" customHeight="1" x14ac:dyDescent="0.3">
      <c r="B315" s="5">
        <v>43</v>
      </c>
      <c r="C315" s="5" t="s">
        <v>615</v>
      </c>
      <c r="D315" s="5">
        <v>70</v>
      </c>
      <c r="E315" s="5">
        <v>47</v>
      </c>
      <c r="F315" s="7" t="s">
        <v>297</v>
      </c>
      <c r="G315" s="7" t="s">
        <v>220</v>
      </c>
      <c r="H315" s="5" t="s">
        <v>298</v>
      </c>
      <c r="I315" s="10" t="s">
        <v>423</v>
      </c>
      <c r="J315" s="7" t="s">
        <v>123</v>
      </c>
      <c r="K315" s="7" t="s">
        <v>45</v>
      </c>
      <c r="L315" s="5" t="str">
        <f>LEFT(K315,FIND( ",",K315)-1)</f>
        <v>Kamis</v>
      </c>
      <c r="M315" s="5" t="str">
        <f>MID(K315,FIND(",",K315)+2,LEN(K315))</f>
        <v>13:00 - 14:40</v>
      </c>
      <c r="N315" s="7" t="s">
        <v>224</v>
      </c>
    </row>
    <row r="316" spans="2:14" ht="30" hidden="1" customHeight="1" x14ac:dyDescent="0.3">
      <c r="B316" s="2">
        <v>44</v>
      </c>
      <c r="C316" s="2" t="s">
        <v>616</v>
      </c>
      <c r="D316" s="2">
        <v>82</v>
      </c>
      <c r="E316" s="2">
        <v>47</v>
      </c>
      <c r="F316" s="1" t="s">
        <v>297</v>
      </c>
      <c r="G316" s="1" t="s">
        <v>220</v>
      </c>
      <c r="H316" s="2" t="s">
        <v>298</v>
      </c>
      <c r="I316" s="11" t="s">
        <v>487</v>
      </c>
      <c r="J316" s="1" t="s">
        <v>488</v>
      </c>
      <c r="K316" s="1" t="s">
        <v>45</v>
      </c>
      <c r="L316" s="2" t="str">
        <f>LEFT(K316,FIND( ",",K316)-1)</f>
        <v>Kamis</v>
      </c>
      <c r="M316" s="2" t="str">
        <f>MID(K316,FIND(",",K316)+2,LEN(K316))</f>
        <v>13:00 - 14:40</v>
      </c>
      <c r="N316" s="1" t="s">
        <v>224</v>
      </c>
    </row>
    <row r="317" spans="2:14" ht="30" customHeight="1" x14ac:dyDescent="0.3">
      <c r="B317" s="2">
        <v>32</v>
      </c>
      <c r="C317" s="2" t="s">
        <v>548</v>
      </c>
      <c r="D317" s="2">
        <v>73</v>
      </c>
      <c r="E317" s="2">
        <v>35</v>
      </c>
      <c r="F317" s="1" t="s">
        <v>179</v>
      </c>
      <c r="G317" s="1" t="s">
        <v>173</v>
      </c>
      <c r="H317" s="2" t="s">
        <v>180</v>
      </c>
      <c r="I317" s="11" t="s">
        <v>549</v>
      </c>
      <c r="J317" s="1" t="s">
        <v>530</v>
      </c>
      <c r="K317" s="1" t="s">
        <v>23</v>
      </c>
      <c r="L317" s="2" t="str">
        <f>LEFT(K317,FIND( ",",K317)-1)</f>
        <v>Rabu</v>
      </c>
      <c r="M317" s="2" t="str">
        <f>MID(K317,FIND(",",K317)+2,LEN(K317))</f>
        <v>08:00 - 09:40</v>
      </c>
      <c r="N317" s="1" t="s">
        <v>177</v>
      </c>
    </row>
    <row r="318" spans="2:14" ht="30" customHeight="1" x14ac:dyDescent="0.3">
      <c r="B318" s="2">
        <v>32</v>
      </c>
      <c r="C318" s="2" t="s">
        <v>548</v>
      </c>
      <c r="D318" s="2">
        <v>73</v>
      </c>
      <c r="E318" s="2">
        <v>35</v>
      </c>
      <c r="F318" s="1" t="s">
        <v>179</v>
      </c>
      <c r="G318" s="1" t="s">
        <v>173</v>
      </c>
      <c r="H318" s="2" t="s">
        <v>180</v>
      </c>
      <c r="I318" s="11" t="s">
        <v>550</v>
      </c>
      <c r="J318" s="1" t="s">
        <v>186</v>
      </c>
      <c r="K318" s="1" t="s">
        <v>31</v>
      </c>
      <c r="L318" s="2" t="str">
        <f>LEFT(K318,FIND( ",",K318)-1)</f>
        <v>Rabu</v>
      </c>
      <c r="M318" s="2" t="str">
        <f>MID(K318,FIND(",",K318)+2,LEN(K318))</f>
        <v>10:00 - 11:40</v>
      </c>
      <c r="N318" s="1" t="s">
        <v>177</v>
      </c>
    </row>
    <row r="319" spans="2:14" ht="30" customHeight="1" x14ac:dyDescent="0.3">
      <c r="B319" s="2">
        <v>32</v>
      </c>
      <c r="C319" s="2" t="s">
        <v>548</v>
      </c>
      <c r="D319" s="2">
        <v>73</v>
      </c>
      <c r="E319" s="2">
        <v>35</v>
      </c>
      <c r="F319" s="1" t="s">
        <v>179</v>
      </c>
      <c r="G319" s="1" t="s">
        <v>173</v>
      </c>
      <c r="H319" s="2" t="s">
        <v>180</v>
      </c>
      <c r="I319" s="11" t="s">
        <v>550</v>
      </c>
      <c r="J319" s="1" t="s">
        <v>530</v>
      </c>
      <c r="K319" s="1" t="s">
        <v>31</v>
      </c>
      <c r="L319" s="2" t="str">
        <f>LEFT(K319,FIND( ",",K319)-1)</f>
        <v>Rabu</v>
      </c>
      <c r="M319" s="2" t="str">
        <f>MID(K319,FIND(",",K319)+2,LEN(K319))</f>
        <v>10:00 - 11:40</v>
      </c>
      <c r="N319" s="1" t="s">
        <v>177</v>
      </c>
    </row>
    <row r="320" spans="2:14" ht="30" customHeight="1" x14ac:dyDescent="0.3">
      <c r="B320" s="2">
        <v>32</v>
      </c>
      <c r="C320" s="2" t="s">
        <v>548</v>
      </c>
      <c r="D320" s="2">
        <v>73</v>
      </c>
      <c r="E320" s="2">
        <v>2</v>
      </c>
      <c r="F320" s="1" t="s">
        <v>363</v>
      </c>
      <c r="G320" s="1" t="s">
        <v>220</v>
      </c>
      <c r="H320" s="2" t="s">
        <v>364</v>
      </c>
      <c r="I320" s="11" t="s">
        <v>364</v>
      </c>
      <c r="J320" s="1" t="s">
        <v>365</v>
      </c>
      <c r="K320" s="1" t="s">
        <v>223</v>
      </c>
      <c r="L320" s="2" t="str">
        <f>LEFT(K320,FIND( ",",K320)-1)</f>
        <v>Rabu</v>
      </c>
      <c r="M320" s="2" t="str">
        <f>MID(K320,FIND(",",K320)+2,LEN(K320))</f>
        <v>15:00 - 16:40</v>
      </c>
      <c r="N320" s="1" t="s">
        <v>224</v>
      </c>
    </row>
    <row r="321" spans="2:14" ht="30" hidden="1" customHeight="1" x14ac:dyDescent="0.3">
      <c r="B321" s="2">
        <v>32</v>
      </c>
      <c r="C321" s="2" t="s">
        <v>548</v>
      </c>
      <c r="D321" s="2">
        <v>73</v>
      </c>
      <c r="E321" s="2">
        <v>34</v>
      </c>
      <c r="F321" s="1" t="s">
        <v>534</v>
      </c>
      <c r="G321" s="1" t="s">
        <v>173</v>
      </c>
      <c r="H321" s="2" t="s">
        <v>535</v>
      </c>
      <c r="I321" s="11" t="s">
        <v>547</v>
      </c>
      <c r="J321" s="1" t="s">
        <v>60</v>
      </c>
      <c r="K321" s="1" t="s">
        <v>29</v>
      </c>
      <c r="L321" s="2" t="str">
        <f>LEFT(K321,FIND( ",",K321)-1)</f>
        <v>Selasa</v>
      </c>
      <c r="M321" s="2" t="str">
        <f>MID(K321,FIND(",",K321)+2,LEN(K321))</f>
        <v>08:00 - 09:40</v>
      </c>
      <c r="N321" s="1" t="s">
        <v>177</v>
      </c>
    </row>
    <row r="322" spans="2:14" ht="30" hidden="1" customHeight="1" x14ac:dyDescent="0.3">
      <c r="B322" s="2">
        <v>32</v>
      </c>
      <c r="C322" s="2" t="s">
        <v>548</v>
      </c>
      <c r="D322" s="2">
        <v>73</v>
      </c>
      <c r="E322" s="2">
        <v>31</v>
      </c>
      <c r="F322" s="1" t="s">
        <v>534</v>
      </c>
      <c r="G322" s="1" t="s">
        <v>173</v>
      </c>
      <c r="H322" s="2" t="s">
        <v>535</v>
      </c>
      <c r="I322" s="11" t="s">
        <v>553</v>
      </c>
      <c r="J322" s="1" t="s">
        <v>60</v>
      </c>
      <c r="K322" s="1" t="s">
        <v>37</v>
      </c>
      <c r="L322" s="2" t="str">
        <f>LEFT(K322,FIND( ",",K322)-1)</f>
        <v>Selasa</v>
      </c>
      <c r="M322" s="2" t="str">
        <f>MID(K322,FIND(",",K322)+2,LEN(K322))</f>
        <v>10:00 - 11:40</v>
      </c>
      <c r="N322" s="1" t="s">
        <v>177</v>
      </c>
    </row>
    <row r="323" spans="2:14" ht="30" hidden="1" customHeight="1" x14ac:dyDescent="0.3">
      <c r="B323" s="2">
        <v>32</v>
      </c>
      <c r="C323" s="2" t="s">
        <v>548</v>
      </c>
      <c r="D323" s="2">
        <v>73</v>
      </c>
      <c r="E323" s="2">
        <v>18</v>
      </c>
      <c r="F323" s="1" t="s">
        <v>445</v>
      </c>
      <c r="G323" s="1" t="s">
        <v>220</v>
      </c>
      <c r="H323" s="2" t="s">
        <v>446</v>
      </c>
      <c r="I323" s="11" t="s">
        <v>447</v>
      </c>
      <c r="J323" s="1" t="s">
        <v>400</v>
      </c>
      <c r="K323" s="1" t="s">
        <v>42</v>
      </c>
      <c r="L323" s="2" t="str">
        <f>LEFT(K323,FIND( ",",K323)-1)</f>
        <v>Selasa</v>
      </c>
      <c r="M323" s="2" t="str">
        <f>MID(K323,FIND(",",K323)+2,LEN(K323))</f>
        <v>13:00 - 14:40</v>
      </c>
      <c r="N323" s="1" t="s">
        <v>224</v>
      </c>
    </row>
    <row r="324" spans="2:14" ht="30" hidden="1" customHeight="1" x14ac:dyDescent="0.3">
      <c r="B324" s="2">
        <v>32</v>
      </c>
      <c r="C324" s="2" t="s">
        <v>548</v>
      </c>
      <c r="D324" s="2">
        <v>73</v>
      </c>
      <c r="E324" s="2">
        <v>18</v>
      </c>
      <c r="F324" s="1" t="s">
        <v>445</v>
      </c>
      <c r="G324" s="1" t="s">
        <v>220</v>
      </c>
      <c r="H324" s="2" t="s">
        <v>446</v>
      </c>
      <c r="I324" s="11" t="s">
        <v>447</v>
      </c>
      <c r="J324" s="1" t="s">
        <v>225</v>
      </c>
      <c r="K324" s="1" t="s">
        <v>42</v>
      </c>
      <c r="L324" s="2" t="str">
        <f>LEFT(K324,FIND( ",",K324)-1)</f>
        <v>Selasa</v>
      </c>
      <c r="M324" s="2" t="str">
        <f>MID(K324,FIND(",",K324)+2,LEN(K324))</f>
        <v>13:00 - 14:40</v>
      </c>
      <c r="N324" s="1" t="s">
        <v>224</v>
      </c>
    </row>
    <row r="325" spans="2:14" ht="30" hidden="1" customHeight="1" x14ac:dyDescent="0.3">
      <c r="B325" s="2">
        <v>32</v>
      </c>
      <c r="C325" s="2" t="s">
        <v>548</v>
      </c>
      <c r="D325" s="2">
        <v>73</v>
      </c>
      <c r="E325" s="2">
        <v>22</v>
      </c>
      <c r="F325" s="1" t="s">
        <v>531</v>
      </c>
      <c r="G325" s="1" t="s">
        <v>220</v>
      </c>
      <c r="H325" s="2" t="s">
        <v>532</v>
      </c>
      <c r="I325" s="11" t="s">
        <v>554</v>
      </c>
      <c r="J325" s="1" t="s">
        <v>462</v>
      </c>
      <c r="K325" s="1" t="s">
        <v>257</v>
      </c>
      <c r="L325" s="2" t="str">
        <f>LEFT(K325,FIND( ",",K325)-1)</f>
        <v>Selasa</v>
      </c>
      <c r="M325" s="2" t="str">
        <f>MID(K325,FIND(",",K325)+2,LEN(K325))</f>
        <v>16:00 - 16:50</v>
      </c>
      <c r="N325" s="1" t="s">
        <v>224</v>
      </c>
    </row>
    <row r="326" spans="2:14" ht="30" hidden="1" customHeight="1" x14ac:dyDescent="0.3">
      <c r="B326" s="2">
        <v>32</v>
      </c>
      <c r="C326" s="2" t="s">
        <v>548</v>
      </c>
      <c r="D326" s="2">
        <v>73</v>
      </c>
      <c r="E326" s="2">
        <v>35</v>
      </c>
      <c r="F326" s="1" t="s">
        <v>179</v>
      </c>
      <c r="G326" s="1" t="s">
        <v>173</v>
      </c>
      <c r="H326" s="2" t="s">
        <v>180</v>
      </c>
      <c r="I326" s="11" t="s">
        <v>549</v>
      </c>
      <c r="J326" s="1" t="s">
        <v>530</v>
      </c>
      <c r="K326" s="1" t="s">
        <v>5</v>
      </c>
      <c r="L326" s="2" t="str">
        <f>LEFT(K326,FIND( ",",K326)-1)</f>
        <v>Senin</v>
      </c>
      <c r="M326" s="2" t="str">
        <f>MID(K326,FIND(",",K326)+2,LEN(K326))</f>
        <v>08:00 - 09:40</v>
      </c>
      <c r="N326" s="1" t="s">
        <v>177</v>
      </c>
    </row>
    <row r="327" spans="2:14" ht="30" hidden="1" customHeight="1" x14ac:dyDescent="0.3">
      <c r="B327" s="2">
        <v>32</v>
      </c>
      <c r="C327" s="2" t="s">
        <v>548</v>
      </c>
      <c r="D327" s="2">
        <v>73</v>
      </c>
      <c r="E327" s="2">
        <v>35</v>
      </c>
      <c r="F327" s="1" t="s">
        <v>179</v>
      </c>
      <c r="G327" s="1" t="s">
        <v>173</v>
      </c>
      <c r="H327" s="2" t="s">
        <v>180</v>
      </c>
      <c r="I327" s="11" t="s">
        <v>550</v>
      </c>
      <c r="J327" s="1" t="s">
        <v>186</v>
      </c>
      <c r="K327" s="1" t="s">
        <v>12</v>
      </c>
      <c r="L327" s="2" t="str">
        <f>LEFT(K327,FIND( ",",K327)-1)</f>
        <v>Senin</v>
      </c>
      <c r="M327" s="2" t="str">
        <f>MID(K327,FIND(",",K327)+2,LEN(K327))</f>
        <v>10:00 - 11:40</v>
      </c>
      <c r="N327" s="1" t="s">
        <v>177</v>
      </c>
    </row>
    <row r="328" spans="2:14" ht="30" hidden="1" customHeight="1" x14ac:dyDescent="0.3">
      <c r="B328" s="2">
        <v>32</v>
      </c>
      <c r="C328" s="2" t="s">
        <v>548</v>
      </c>
      <c r="D328" s="2">
        <v>73</v>
      </c>
      <c r="E328" s="2">
        <v>35</v>
      </c>
      <c r="F328" s="1" t="s">
        <v>179</v>
      </c>
      <c r="G328" s="1" t="s">
        <v>173</v>
      </c>
      <c r="H328" s="2" t="s">
        <v>180</v>
      </c>
      <c r="I328" s="11" t="s">
        <v>550</v>
      </c>
      <c r="J328" s="1" t="s">
        <v>530</v>
      </c>
      <c r="K328" s="1" t="s">
        <v>12</v>
      </c>
      <c r="L328" s="2" t="str">
        <f>LEFT(K328,FIND( ",",K328)-1)</f>
        <v>Senin</v>
      </c>
      <c r="M328" s="2" t="str">
        <f>MID(K328,FIND(",",K328)+2,LEN(K328))</f>
        <v>10:00 - 11:40</v>
      </c>
      <c r="N328" s="1" t="s">
        <v>177</v>
      </c>
    </row>
    <row r="329" spans="2:14" ht="30" hidden="1" customHeight="1" x14ac:dyDescent="0.3">
      <c r="B329" s="2">
        <v>32</v>
      </c>
      <c r="C329" s="2" t="s">
        <v>548</v>
      </c>
      <c r="D329" s="2">
        <v>73</v>
      </c>
      <c r="E329" s="2">
        <v>44</v>
      </c>
      <c r="F329" s="1" t="s">
        <v>316</v>
      </c>
      <c r="G329" s="1" t="s">
        <v>173</v>
      </c>
      <c r="H329" s="2" t="s">
        <v>317</v>
      </c>
      <c r="I329" s="11" t="s">
        <v>551</v>
      </c>
      <c r="J329" s="1" t="s">
        <v>486</v>
      </c>
      <c r="K329" s="1" t="s">
        <v>19</v>
      </c>
      <c r="L329" s="2" t="str">
        <f>LEFT(K329,FIND( ",",K329)-1)</f>
        <v>Senin</v>
      </c>
      <c r="M329" s="2" t="str">
        <f>MID(K329,FIND(",",K329)+2,LEN(K329))</f>
        <v>13:00 - 14:40</v>
      </c>
      <c r="N329" s="1" t="s">
        <v>177</v>
      </c>
    </row>
    <row r="330" spans="2:14" ht="30" hidden="1" customHeight="1" x14ac:dyDescent="0.3">
      <c r="B330" s="2">
        <v>32</v>
      </c>
      <c r="C330" s="2" t="s">
        <v>548</v>
      </c>
      <c r="D330" s="2">
        <v>73</v>
      </c>
      <c r="E330" s="2">
        <v>48</v>
      </c>
      <c r="F330" s="1" t="s">
        <v>316</v>
      </c>
      <c r="G330" s="1" t="s">
        <v>173</v>
      </c>
      <c r="H330" s="2" t="s">
        <v>317</v>
      </c>
      <c r="I330" s="11" t="s">
        <v>552</v>
      </c>
      <c r="J330" s="1" t="s">
        <v>472</v>
      </c>
      <c r="K330" s="1" t="s">
        <v>21</v>
      </c>
      <c r="L330" s="2" t="str">
        <f>LEFT(K330,FIND( ",",K330)-1)</f>
        <v>Senin</v>
      </c>
      <c r="M330" s="2" t="str">
        <f>MID(K330,FIND(",",K330)+2,LEN(K330))</f>
        <v>15:00 - 16:40</v>
      </c>
      <c r="N330" s="1" t="s">
        <v>177</v>
      </c>
    </row>
    <row r="331" spans="2:14" ht="30" hidden="1" customHeight="1" x14ac:dyDescent="0.3">
      <c r="B331" s="5">
        <v>33</v>
      </c>
      <c r="C331" s="5" t="s">
        <v>555</v>
      </c>
      <c r="D331" s="5">
        <v>61</v>
      </c>
      <c r="E331" s="5">
        <v>29</v>
      </c>
      <c r="F331" s="7" t="s">
        <v>534</v>
      </c>
      <c r="G331" s="7" t="s">
        <v>173</v>
      </c>
      <c r="H331" s="5" t="s">
        <v>535</v>
      </c>
      <c r="I331" s="10" t="s">
        <v>561</v>
      </c>
      <c r="J331" s="7" t="s">
        <v>255</v>
      </c>
      <c r="K331" s="7" t="s">
        <v>286</v>
      </c>
      <c r="L331" s="5" t="str">
        <f>LEFT(K331,FIND( ",",K331)-1)</f>
        <v>Jumat</v>
      </c>
      <c r="M331" s="5" t="str">
        <f>MID(K331,FIND(",",K331)+2,LEN(K331))</f>
        <v>09:00 - 09:50</v>
      </c>
      <c r="N331" s="7" t="s">
        <v>177</v>
      </c>
    </row>
    <row r="332" spans="2:14" ht="30" hidden="1" customHeight="1" x14ac:dyDescent="0.3">
      <c r="B332" s="5">
        <v>33</v>
      </c>
      <c r="C332" s="5" t="s">
        <v>555</v>
      </c>
      <c r="D332" s="5">
        <v>61</v>
      </c>
      <c r="E332" s="5">
        <v>29</v>
      </c>
      <c r="F332" s="7" t="s">
        <v>534</v>
      </c>
      <c r="G332" s="7" t="s">
        <v>173</v>
      </c>
      <c r="H332" s="5" t="s">
        <v>535</v>
      </c>
      <c r="I332" s="10" t="s">
        <v>561</v>
      </c>
      <c r="J332" s="7" t="s">
        <v>471</v>
      </c>
      <c r="K332" s="7" t="s">
        <v>286</v>
      </c>
      <c r="L332" s="5" t="str">
        <f>LEFT(K332,FIND( ",",K332)-1)</f>
        <v>Jumat</v>
      </c>
      <c r="M332" s="5" t="str">
        <f>MID(K332,FIND(",",K332)+2,LEN(K332))</f>
        <v>09:00 - 09:50</v>
      </c>
      <c r="N332" s="7" t="s">
        <v>177</v>
      </c>
    </row>
    <row r="333" spans="2:14" ht="30" hidden="1" customHeight="1" x14ac:dyDescent="0.3">
      <c r="B333" s="5">
        <v>33</v>
      </c>
      <c r="C333" s="5" t="s">
        <v>555</v>
      </c>
      <c r="D333" s="5">
        <v>61</v>
      </c>
      <c r="E333" s="5">
        <v>7</v>
      </c>
      <c r="F333" s="7" t="s">
        <v>355</v>
      </c>
      <c r="G333" s="7" t="s">
        <v>220</v>
      </c>
      <c r="H333" s="5" t="s">
        <v>356</v>
      </c>
      <c r="I333" s="10" t="s">
        <v>566</v>
      </c>
      <c r="J333" s="7" t="s">
        <v>358</v>
      </c>
      <c r="K333" s="7" t="s">
        <v>567</v>
      </c>
      <c r="L333" s="5" t="str">
        <f>LEFT(K333,FIND( ",",K333)-1)</f>
        <v>Jumat</v>
      </c>
      <c r="M333" s="5" t="str">
        <f>MID(K333,FIND(",",K333)+2,LEN(K333))</f>
        <v>10:00 - 10:50</v>
      </c>
      <c r="N333" s="7" t="s">
        <v>224</v>
      </c>
    </row>
    <row r="334" spans="2:14" ht="30" hidden="1" customHeight="1" x14ac:dyDescent="0.3">
      <c r="B334" s="5">
        <v>33</v>
      </c>
      <c r="C334" s="5" t="s">
        <v>555</v>
      </c>
      <c r="D334" s="5">
        <v>61</v>
      </c>
      <c r="E334" s="5">
        <v>7</v>
      </c>
      <c r="F334" s="7" t="s">
        <v>355</v>
      </c>
      <c r="G334" s="7" t="s">
        <v>220</v>
      </c>
      <c r="H334" s="5" t="s">
        <v>356</v>
      </c>
      <c r="I334" s="10" t="s">
        <v>566</v>
      </c>
      <c r="J334" s="7" t="s">
        <v>28</v>
      </c>
      <c r="K334" s="7" t="s">
        <v>567</v>
      </c>
      <c r="L334" s="5" t="str">
        <f>LEFT(K334,FIND( ",",K334)-1)</f>
        <v>Jumat</v>
      </c>
      <c r="M334" s="5" t="str">
        <f>MID(K334,FIND(",",K334)+2,LEN(K334))</f>
        <v>10:00 - 10:50</v>
      </c>
      <c r="N334" s="7" t="s">
        <v>224</v>
      </c>
    </row>
    <row r="335" spans="2:14" ht="30" hidden="1" customHeight="1" x14ac:dyDescent="0.3">
      <c r="B335" s="5">
        <v>27</v>
      </c>
      <c r="C335" s="5" t="s">
        <v>467</v>
      </c>
      <c r="D335" s="5">
        <v>100</v>
      </c>
      <c r="E335" s="5">
        <v>2</v>
      </c>
      <c r="F335" s="7" t="s">
        <v>477</v>
      </c>
      <c r="G335" s="7" t="s">
        <v>220</v>
      </c>
      <c r="H335" s="5" t="s">
        <v>478</v>
      </c>
      <c r="I335" s="10" t="s">
        <v>479</v>
      </c>
      <c r="J335" s="7" t="s">
        <v>247</v>
      </c>
      <c r="K335" s="7" t="s">
        <v>483</v>
      </c>
      <c r="L335" s="5" t="str">
        <f>LEFT(K335,FIND( ",",K335)-1)</f>
        <v>Kamis</v>
      </c>
      <c r="M335" s="5" t="str">
        <f>MID(K335,FIND(",",K335)+2,LEN(K335))</f>
        <v>13:00 - 15:00</v>
      </c>
      <c r="N335" s="7" t="s">
        <v>224</v>
      </c>
    </row>
    <row r="336" spans="2:14" ht="30" hidden="1" customHeight="1" x14ac:dyDescent="0.3">
      <c r="B336" s="5">
        <v>27</v>
      </c>
      <c r="C336" s="5" t="s">
        <v>467</v>
      </c>
      <c r="D336" s="5">
        <v>100</v>
      </c>
      <c r="E336" s="5">
        <v>2</v>
      </c>
      <c r="F336" s="7" t="s">
        <v>477</v>
      </c>
      <c r="G336" s="7" t="s">
        <v>220</v>
      </c>
      <c r="H336" s="5" t="s">
        <v>478</v>
      </c>
      <c r="I336" s="10" t="s">
        <v>479</v>
      </c>
      <c r="J336" s="7" t="s">
        <v>382</v>
      </c>
      <c r="K336" s="7" t="s">
        <v>483</v>
      </c>
      <c r="L336" s="5" t="str">
        <f>LEFT(K336,FIND( ",",K336)-1)</f>
        <v>Kamis</v>
      </c>
      <c r="M336" s="5" t="str">
        <f>MID(K336,FIND(",",K336)+2,LEN(K336))</f>
        <v>13:00 - 15:00</v>
      </c>
      <c r="N336" s="7" t="s">
        <v>224</v>
      </c>
    </row>
    <row r="337" spans="2:14" ht="30" hidden="1" customHeight="1" x14ac:dyDescent="0.3">
      <c r="B337" s="2">
        <v>18</v>
      </c>
      <c r="C337" s="2" t="s">
        <v>326</v>
      </c>
      <c r="D337" s="2">
        <v>65</v>
      </c>
      <c r="E337" s="2">
        <v>4</v>
      </c>
      <c r="F337" s="1" t="s">
        <v>341</v>
      </c>
      <c r="G337" s="1" t="s">
        <v>173</v>
      </c>
      <c r="H337" s="2" t="s">
        <v>342</v>
      </c>
      <c r="I337" s="11" t="s">
        <v>343</v>
      </c>
      <c r="J337" s="1" t="s">
        <v>296</v>
      </c>
      <c r="K337" s="1" t="s">
        <v>345</v>
      </c>
      <c r="L337" s="2" t="str">
        <f>LEFT(K337,FIND( ",",K337)-1)</f>
        <v>Kamis</v>
      </c>
      <c r="M337" s="2" t="str">
        <f>MID(K337,FIND(",",K337)+2,LEN(K337))</f>
        <v>13:00 - 15:30</v>
      </c>
      <c r="N337" s="1" t="s">
        <v>177</v>
      </c>
    </row>
    <row r="338" spans="2:14" ht="30" hidden="1" customHeight="1" x14ac:dyDescent="0.3">
      <c r="B338" s="5">
        <v>35</v>
      </c>
      <c r="C338" s="5" t="s">
        <v>574</v>
      </c>
      <c r="D338" s="5">
        <v>31</v>
      </c>
      <c r="E338" s="5">
        <v>9</v>
      </c>
      <c r="F338" s="7" t="s">
        <v>341</v>
      </c>
      <c r="G338" s="7" t="s">
        <v>576</v>
      </c>
      <c r="H338" s="5" t="s">
        <v>342</v>
      </c>
      <c r="I338" s="10" t="s">
        <v>580</v>
      </c>
      <c r="J338" s="7" t="s">
        <v>495</v>
      </c>
      <c r="K338" s="7" t="s">
        <v>345</v>
      </c>
      <c r="L338" s="5" t="str">
        <f>LEFT(K338,FIND( ",",K338)-1)</f>
        <v>Kamis</v>
      </c>
      <c r="M338" s="5" t="str">
        <f>MID(K338,FIND(",",K338)+2,LEN(K338))</f>
        <v>13:00 - 15:30</v>
      </c>
      <c r="N338" s="7" t="s">
        <v>578</v>
      </c>
    </row>
    <row r="339" spans="2:14" ht="30" hidden="1" customHeight="1" x14ac:dyDescent="0.3">
      <c r="B339" s="5">
        <v>17</v>
      </c>
      <c r="C339" s="5" t="s">
        <v>292</v>
      </c>
      <c r="D339" s="5">
        <v>70</v>
      </c>
      <c r="E339" s="5">
        <v>13</v>
      </c>
      <c r="F339" s="7" t="s">
        <v>312</v>
      </c>
      <c r="G339" s="7" t="s">
        <v>220</v>
      </c>
      <c r="H339" s="5" t="s">
        <v>313</v>
      </c>
      <c r="I339" s="10" t="s">
        <v>314</v>
      </c>
      <c r="J339" s="7" t="s">
        <v>315</v>
      </c>
      <c r="K339" s="7" t="s">
        <v>322</v>
      </c>
      <c r="L339" s="5" t="str">
        <f>LEFT(K339,FIND( ",",K339)-1)</f>
        <v>Kamis</v>
      </c>
      <c r="M339" s="5" t="str">
        <f>MID(K339,FIND(",",K339)+2,LEN(K339))</f>
        <v>14:00 - 14:50</v>
      </c>
      <c r="N339" s="7" t="s">
        <v>224</v>
      </c>
    </row>
    <row r="340" spans="2:14" ht="30" customHeight="1" x14ac:dyDescent="0.3">
      <c r="B340" s="5">
        <v>33</v>
      </c>
      <c r="C340" s="5" t="s">
        <v>555</v>
      </c>
      <c r="D340" s="5">
        <v>61</v>
      </c>
      <c r="E340" s="5">
        <v>24</v>
      </c>
      <c r="F340" s="7" t="s">
        <v>210</v>
      </c>
      <c r="G340" s="7" t="s">
        <v>173</v>
      </c>
      <c r="H340" s="5" t="s">
        <v>211</v>
      </c>
      <c r="I340" s="10" t="s">
        <v>558</v>
      </c>
      <c r="J340" s="7" t="s">
        <v>559</v>
      </c>
      <c r="K340" s="7" t="s">
        <v>261</v>
      </c>
      <c r="L340" s="5" t="str">
        <f>LEFT(K340,FIND( ",",K340)-1)</f>
        <v>Rabu</v>
      </c>
      <c r="M340" s="5" t="str">
        <f>MID(K340,FIND(",",K340)+2,LEN(K340))</f>
        <v>11:00 - 11:50</v>
      </c>
      <c r="N340" s="7" t="s">
        <v>177</v>
      </c>
    </row>
    <row r="341" spans="2:14" ht="30" customHeight="1" x14ac:dyDescent="0.3">
      <c r="B341" s="5">
        <v>33</v>
      </c>
      <c r="C341" s="5" t="s">
        <v>555</v>
      </c>
      <c r="D341" s="5">
        <v>61</v>
      </c>
      <c r="E341" s="5">
        <v>21</v>
      </c>
      <c r="F341" s="7" t="s">
        <v>210</v>
      </c>
      <c r="G341" s="7" t="s">
        <v>173</v>
      </c>
      <c r="H341" s="5" t="s">
        <v>211</v>
      </c>
      <c r="I341" s="10" t="s">
        <v>560</v>
      </c>
      <c r="J341" s="7" t="s">
        <v>559</v>
      </c>
      <c r="K341" s="7" t="s">
        <v>218</v>
      </c>
      <c r="L341" s="5" t="str">
        <f>LEFT(K341,FIND( ",",K341)-1)</f>
        <v>Rabu</v>
      </c>
      <c r="M341" s="5" t="str">
        <f>MID(K341,FIND(",",K341)+2,LEN(K341))</f>
        <v>14:00 - 14:50</v>
      </c>
      <c r="N341" s="7" t="s">
        <v>177</v>
      </c>
    </row>
    <row r="342" spans="2:14" ht="30" hidden="1" customHeight="1" x14ac:dyDescent="0.3">
      <c r="B342" s="5">
        <v>33</v>
      </c>
      <c r="C342" s="5" t="s">
        <v>555</v>
      </c>
      <c r="D342" s="5">
        <v>61</v>
      </c>
      <c r="E342" s="5">
        <v>29</v>
      </c>
      <c r="F342" s="7" t="s">
        <v>534</v>
      </c>
      <c r="G342" s="7" t="s">
        <v>173</v>
      </c>
      <c r="H342" s="5" t="s">
        <v>535</v>
      </c>
      <c r="I342" s="10" t="s">
        <v>561</v>
      </c>
      <c r="J342" s="7" t="s">
        <v>255</v>
      </c>
      <c r="K342" s="7" t="s">
        <v>29</v>
      </c>
      <c r="L342" s="5" t="str">
        <f>LEFT(K342,FIND( ",",K342)-1)</f>
        <v>Selasa</v>
      </c>
      <c r="M342" s="5" t="str">
        <f>MID(K342,FIND(",",K342)+2,LEN(K342))</f>
        <v>08:00 - 09:40</v>
      </c>
      <c r="N342" s="7" t="s">
        <v>177</v>
      </c>
    </row>
    <row r="343" spans="2:14" ht="30" hidden="1" customHeight="1" x14ac:dyDescent="0.3">
      <c r="B343" s="5">
        <v>33</v>
      </c>
      <c r="C343" s="5" t="s">
        <v>555</v>
      </c>
      <c r="D343" s="5">
        <v>61</v>
      </c>
      <c r="E343" s="5">
        <v>29</v>
      </c>
      <c r="F343" s="7" t="s">
        <v>534</v>
      </c>
      <c r="G343" s="7" t="s">
        <v>173</v>
      </c>
      <c r="H343" s="5" t="s">
        <v>535</v>
      </c>
      <c r="I343" s="10" t="s">
        <v>561</v>
      </c>
      <c r="J343" s="7" t="s">
        <v>471</v>
      </c>
      <c r="K343" s="7" t="s">
        <v>29</v>
      </c>
      <c r="L343" s="5" t="str">
        <f>LEFT(K343,FIND( ",",K343)-1)</f>
        <v>Selasa</v>
      </c>
      <c r="M343" s="5" t="str">
        <f>MID(K343,FIND(",",K343)+2,LEN(K343))</f>
        <v>08:00 - 09:40</v>
      </c>
      <c r="N343" s="7" t="s">
        <v>177</v>
      </c>
    </row>
    <row r="344" spans="2:14" ht="30" hidden="1" customHeight="1" x14ac:dyDescent="0.3">
      <c r="B344" s="5">
        <v>33</v>
      </c>
      <c r="C344" s="5" t="s">
        <v>555</v>
      </c>
      <c r="D344" s="5">
        <v>61</v>
      </c>
      <c r="E344" s="5">
        <v>3</v>
      </c>
      <c r="F344" s="7" t="s">
        <v>562</v>
      </c>
      <c r="G344" s="7" t="s">
        <v>220</v>
      </c>
      <c r="H344" s="5" t="s">
        <v>563</v>
      </c>
      <c r="I344" s="10" t="s">
        <v>564</v>
      </c>
      <c r="J344" s="7" t="s">
        <v>247</v>
      </c>
      <c r="K344" s="7" t="s">
        <v>37</v>
      </c>
      <c r="L344" s="5" t="str">
        <f>LEFT(K344,FIND( ",",K344)-1)</f>
        <v>Selasa</v>
      </c>
      <c r="M344" s="5" t="str">
        <f>MID(K344,FIND(",",K344)+2,LEN(K344))</f>
        <v>10:00 - 11:40</v>
      </c>
      <c r="N344" s="7" t="s">
        <v>224</v>
      </c>
    </row>
    <row r="345" spans="2:14" ht="30" hidden="1" customHeight="1" x14ac:dyDescent="0.3">
      <c r="B345" s="5">
        <v>33</v>
      </c>
      <c r="C345" s="5" t="s">
        <v>555</v>
      </c>
      <c r="D345" s="5">
        <v>61</v>
      </c>
      <c r="E345" s="5">
        <v>46</v>
      </c>
      <c r="F345" s="7" t="s">
        <v>214</v>
      </c>
      <c r="G345" s="7" t="s">
        <v>173</v>
      </c>
      <c r="H345" s="5" t="s">
        <v>215</v>
      </c>
      <c r="I345" s="10" t="s">
        <v>565</v>
      </c>
      <c r="J345" s="7" t="s">
        <v>441</v>
      </c>
      <c r="K345" s="7" t="s">
        <v>194</v>
      </c>
      <c r="L345" s="5" t="str">
        <f>LEFT(K345,FIND( ",",K345)-1)</f>
        <v>Selasa</v>
      </c>
      <c r="M345" s="5" t="str">
        <f>MID(K345,FIND(",",K345)+2,LEN(K345))</f>
        <v>15:00 - 16:40</v>
      </c>
      <c r="N345" s="7" t="s">
        <v>177</v>
      </c>
    </row>
    <row r="346" spans="2:14" ht="30" hidden="1" customHeight="1" x14ac:dyDescent="0.3">
      <c r="B346" s="5">
        <v>33</v>
      </c>
      <c r="C346" s="5" t="s">
        <v>555</v>
      </c>
      <c r="D346" s="5">
        <v>61</v>
      </c>
      <c r="E346" s="5">
        <v>39</v>
      </c>
      <c r="F346" s="7" t="s">
        <v>172</v>
      </c>
      <c r="G346" s="7" t="s">
        <v>173</v>
      </c>
      <c r="H346" s="5" t="s">
        <v>174</v>
      </c>
      <c r="I346" s="10" t="s">
        <v>556</v>
      </c>
      <c r="J346" s="7" t="s">
        <v>557</v>
      </c>
      <c r="K346" s="7" t="s">
        <v>5</v>
      </c>
      <c r="L346" s="5" t="str">
        <f>LEFT(K346,FIND( ",",K346)-1)</f>
        <v>Senin</v>
      </c>
      <c r="M346" s="5" t="str">
        <f>MID(K346,FIND(",",K346)+2,LEN(K346))</f>
        <v>08:00 - 09:40</v>
      </c>
      <c r="N346" s="7" t="s">
        <v>177</v>
      </c>
    </row>
    <row r="347" spans="2:14" ht="30" hidden="1" customHeight="1" x14ac:dyDescent="0.3">
      <c r="B347" s="5">
        <v>33</v>
      </c>
      <c r="C347" s="5" t="s">
        <v>555</v>
      </c>
      <c r="D347" s="5">
        <v>61</v>
      </c>
      <c r="E347" s="5">
        <v>39</v>
      </c>
      <c r="F347" s="7" t="s">
        <v>172</v>
      </c>
      <c r="G347" s="7" t="s">
        <v>173</v>
      </c>
      <c r="H347" s="5" t="s">
        <v>174</v>
      </c>
      <c r="I347" s="10" t="s">
        <v>556</v>
      </c>
      <c r="J347" s="7" t="s">
        <v>178</v>
      </c>
      <c r="K347" s="7" t="s">
        <v>5</v>
      </c>
      <c r="L347" s="5" t="str">
        <f>LEFT(K347,FIND( ",",K347)-1)</f>
        <v>Senin</v>
      </c>
      <c r="M347" s="5" t="str">
        <f>MID(K347,FIND(",",K347)+2,LEN(K347))</f>
        <v>08:00 - 09:40</v>
      </c>
      <c r="N347" s="7" t="s">
        <v>177</v>
      </c>
    </row>
    <row r="348" spans="2:14" ht="30" hidden="1" customHeight="1" x14ac:dyDescent="0.3">
      <c r="B348" s="5">
        <v>33</v>
      </c>
      <c r="C348" s="5" t="s">
        <v>555</v>
      </c>
      <c r="D348" s="5">
        <v>61</v>
      </c>
      <c r="E348" s="5">
        <v>24</v>
      </c>
      <c r="F348" s="7" t="s">
        <v>210</v>
      </c>
      <c r="G348" s="7" t="s">
        <v>173</v>
      </c>
      <c r="H348" s="5" t="s">
        <v>211</v>
      </c>
      <c r="I348" s="10" t="s">
        <v>558</v>
      </c>
      <c r="J348" s="7" t="s">
        <v>559</v>
      </c>
      <c r="K348" s="7" t="s">
        <v>12</v>
      </c>
      <c r="L348" s="5" t="str">
        <f>LEFT(K348,FIND( ",",K348)-1)</f>
        <v>Senin</v>
      </c>
      <c r="M348" s="5" t="str">
        <f>MID(K348,FIND(",",K348)+2,LEN(K348))</f>
        <v>10:00 - 11:40</v>
      </c>
      <c r="N348" s="7" t="s">
        <v>177</v>
      </c>
    </row>
    <row r="349" spans="2:14" ht="30" hidden="1" customHeight="1" x14ac:dyDescent="0.3">
      <c r="B349" s="5">
        <v>33</v>
      </c>
      <c r="C349" s="5" t="s">
        <v>555</v>
      </c>
      <c r="D349" s="5">
        <v>61</v>
      </c>
      <c r="E349" s="5">
        <v>21</v>
      </c>
      <c r="F349" s="7" t="s">
        <v>210</v>
      </c>
      <c r="G349" s="7" t="s">
        <v>173</v>
      </c>
      <c r="H349" s="5" t="s">
        <v>211</v>
      </c>
      <c r="I349" s="10" t="s">
        <v>560</v>
      </c>
      <c r="J349" s="7" t="s">
        <v>559</v>
      </c>
      <c r="K349" s="7" t="s">
        <v>19</v>
      </c>
      <c r="L349" s="5" t="str">
        <f>LEFT(K349,FIND( ",",K349)-1)</f>
        <v>Senin</v>
      </c>
      <c r="M349" s="5" t="str">
        <f>MID(K349,FIND(",",K349)+2,LEN(K349))</f>
        <v>13:00 - 14:40</v>
      </c>
      <c r="N349" s="7" t="s">
        <v>177</v>
      </c>
    </row>
    <row r="350" spans="2:14" ht="30" hidden="1" customHeight="1" x14ac:dyDescent="0.3">
      <c r="B350" s="2">
        <v>34</v>
      </c>
      <c r="C350" s="2" t="s">
        <v>568</v>
      </c>
      <c r="D350" s="2">
        <v>52</v>
      </c>
      <c r="E350" s="2">
        <v>16</v>
      </c>
      <c r="F350" s="1" t="s">
        <v>572</v>
      </c>
      <c r="G350" s="1" t="s">
        <v>173</v>
      </c>
      <c r="H350" s="2" t="s">
        <v>573</v>
      </c>
      <c r="I350" s="11" t="s">
        <v>573</v>
      </c>
      <c r="J350" s="1" t="s">
        <v>170</v>
      </c>
      <c r="K350" s="1" t="s">
        <v>567</v>
      </c>
      <c r="L350" s="2" t="str">
        <f>LEFT(K350,FIND( ",",K350)-1)</f>
        <v>Jumat</v>
      </c>
      <c r="M350" s="2" t="str">
        <f>MID(K350,FIND(",",K350)+2,LEN(K350))</f>
        <v>10:00 - 10:50</v>
      </c>
      <c r="N350" s="1" t="s">
        <v>177</v>
      </c>
    </row>
    <row r="351" spans="2:14" ht="30" hidden="1" customHeight="1" x14ac:dyDescent="0.3">
      <c r="B351" s="2">
        <v>20</v>
      </c>
      <c r="C351" s="2" t="s">
        <v>371</v>
      </c>
      <c r="D351" s="2">
        <v>65</v>
      </c>
      <c r="E351" s="2">
        <v>9</v>
      </c>
      <c r="F351" s="1" t="s">
        <v>366</v>
      </c>
      <c r="G351" s="1" t="s">
        <v>173</v>
      </c>
      <c r="H351" s="2" t="s">
        <v>367</v>
      </c>
      <c r="I351" s="11" t="s">
        <v>368</v>
      </c>
      <c r="J351" s="1" t="s">
        <v>369</v>
      </c>
      <c r="K351" s="1" t="s">
        <v>322</v>
      </c>
      <c r="L351" s="2" t="str">
        <f>LEFT(K351,FIND( ",",K351)-1)</f>
        <v>Kamis</v>
      </c>
      <c r="M351" s="2" t="str">
        <f>MID(K351,FIND(",",K351)+2,LEN(K351))</f>
        <v>14:00 - 14:50</v>
      </c>
      <c r="N351" s="1" t="s">
        <v>177</v>
      </c>
    </row>
    <row r="352" spans="2:14" ht="30" hidden="1" customHeight="1" x14ac:dyDescent="0.3">
      <c r="B352" s="5">
        <v>23</v>
      </c>
      <c r="C352" s="5" t="s">
        <v>420</v>
      </c>
      <c r="D352" s="5">
        <v>80</v>
      </c>
      <c r="E352" s="5">
        <v>33</v>
      </c>
      <c r="F352" s="7" t="s">
        <v>244</v>
      </c>
      <c r="G352" s="7" t="s">
        <v>220</v>
      </c>
      <c r="H352" s="5" t="s">
        <v>245</v>
      </c>
      <c r="I352" s="10" t="s">
        <v>427</v>
      </c>
      <c r="J352" s="7" t="s">
        <v>428</v>
      </c>
      <c r="K352" s="7" t="s">
        <v>434</v>
      </c>
      <c r="L352" s="5" t="str">
        <f>LEFT(K352,FIND( ",",K352)-1)</f>
        <v>Kamis</v>
      </c>
      <c r="M352" s="5" t="str">
        <f>MID(K352,FIND(",",K352)+2,LEN(K352))</f>
        <v>14:00 - 15:40</v>
      </c>
      <c r="N352" s="7" t="s">
        <v>224</v>
      </c>
    </row>
    <row r="353" spans="2:14" ht="30" hidden="1" customHeight="1" x14ac:dyDescent="0.3">
      <c r="B353" s="2">
        <v>30</v>
      </c>
      <c r="C353" s="2" t="s">
        <v>519</v>
      </c>
      <c r="D353" s="2">
        <v>80</v>
      </c>
      <c r="E353" s="2">
        <v>10</v>
      </c>
      <c r="F353" s="1" t="s">
        <v>527</v>
      </c>
      <c r="G353" s="1" t="s">
        <v>220</v>
      </c>
      <c r="H353" s="2" t="s">
        <v>528</v>
      </c>
      <c r="I353" s="11" t="s">
        <v>529</v>
      </c>
      <c r="J353" s="1" t="s">
        <v>530</v>
      </c>
      <c r="K353" s="1" t="s">
        <v>434</v>
      </c>
      <c r="L353" s="2" t="str">
        <f>LEFT(K353,FIND( ",",K353)-1)</f>
        <v>Kamis</v>
      </c>
      <c r="M353" s="2" t="str">
        <f>MID(K353,FIND(",",K353)+2,LEN(K353))</f>
        <v>14:00 - 15:40</v>
      </c>
      <c r="N353" s="1" t="s">
        <v>224</v>
      </c>
    </row>
    <row r="354" spans="2:14" ht="30" hidden="1" customHeight="1" x14ac:dyDescent="0.3">
      <c r="B354" s="5">
        <v>13</v>
      </c>
      <c r="C354" s="5" t="s">
        <v>203</v>
      </c>
      <c r="D354" s="5">
        <v>60</v>
      </c>
      <c r="E354" s="5">
        <v>5</v>
      </c>
      <c r="F354" s="7" t="s">
        <v>231</v>
      </c>
      <c r="G354" s="7" t="s">
        <v>173</v>
      </c>
      <c r="H354" s="5" t="s">
        <v>232</v>
      </c>
      <c r="I354" s="10" t="s">
        <v>233</v>
      </c>
      <c r="J354" s="7" t="s">
        <v>234</v>
      </c>
      <c r="K354" s="7" t="s">
        <v>235</v>
      </c>
      <c r="L354" s="5" t="str">
        <f>LEFT(K354,FIND( ",",K354)-1)</f>
        <v>Kamis</v>
      </c>
      <c r="M354" s="5" t="str">
        <f>MID(K354,FIND(",",K354)+2,LEN(K354))</f>
        <v>15:00 - 15:50</v>
      </c>
      <c r="N354" s="7" t="s">
        <v>177</v>
      </c>
    </row>
    <row r="355" spans="2:14" ht="30" hidden="1" customHeight="1" x14ac:dyDescent="0.3">
      <c r="B355" s="2">
        <v>32</v>
      </c>
      <c r="C355" s="2" t="s">
        <v>548</v>
      </c>
      <c r="D355" s="2">
        <v>73</v>
      </c>
      <c r="E355" s="2">
        <v>31</v>
      </c>
      <c r="F355" s="1" t="s">
        <v>534</v>
      </c>
      <c r="G355" s="1" t="s">
        <v>173</v>
      </c>
      <c r="H355" s="2" t="s">
        <v>535</v>
      </c>
      <c r="I355" s="11" t="s">
        <v>553</v>
      </c>
      <c r="J355" s="1" t="s">
        <v>60</v>
      </c>
      <c r="K355" s="1" t="s">
        <v>235</v>
      </c>
      <c r="L355" s="2" t="str">
        <f>LEFT(K355,FIND( ",",K355)-1)</f>
        <v>Kamis</v>
      </c>
      <c r="M355" s="2" t="str">
        <f>MID(K355,FIND(",",K355)+2,LEN(K355))</f>
        <v>15:00 - 15:50</v>
      </c>
      <c r="N355" s="1" t="s">
        <v>177</v>
      </c>
    </row>
    <row r="356" spans="2:14" ht="30" customHeight="1" x14ac:dyDescent="0.3">
      <c r="B356" s="2">
        <v>34</v>
      </c>
      <c r="C356" s="2" t="s">
        <v>568</v>
      </c>
      <c r="D356" s="2">
        <v>52</v>
      </c>
      <c r="E356" s="2">
        <v>22</v>
      </c>
      <c r="F356" s="1" t="s">
        <v>264</v>
      </c>
      <c r="G356" s="1" t="s">
        <v>220</v>
      </c>
      <c r="H356" s="2" t="s">
        <v>265</v>
      </c>
      <c r="I356" s="11" t="s">
        <v>266</v>
      </c>
      <c r="J356" s="1" t="s">
        <v>267</v>
      </c>
      <c r="K356" s="1" t="s">
        <v>23</v>
      </c>
      <c r="L356" s="2" t="str">
        <f>LEFT(K356,FIND( ",",K356)-1)</f>
        <v>Rabu</v>
      </c>
      <c r="M356" s="2" t="str">
        <f>MID(K356,FIND(",",K356)+2,LEN(K356))</f>
        <v>08:00 - 09:40</v>
      </c>
      <c r="N356" s="1" t="s">
        <v>224</v>
      </c>
    </row>
    <row r="357" spans="2:14" ht="30" customHeight="1" x14ac:dyDescent="0.3">
      <c r="B357" s="2">
        <v>34</v>
      </c>
      <c r="C357" s="2" t="s">
        <v>568</v>
      </c>
      <c r="D357" s="2">
        <v>52</v>
      </c>
      <c r="E357" s="2">
        <v>46</v>
      </c>
      <c r="F357" s="1" t="s">
        <v>237</v>
      </c>
      <c r="G357" s="1" t="s">
        <v>173</v>
      </c>
      <c r="H357" s="2" t="s">
        <v>238</v>
      </c>
      <c r="I357" s="11" t="s">
        <v>518</v>
      </c>
      <c r="J357" s="1" t="s">
        <v>474</v>
      </c>
      <c r="K357" s="1" t="s">
        <v>217</v>
      </c>
      <c r="L357" s="2" t="str">
        <f>LEFT(K357,FIND( ",",K357)-1)</f>
        <v>Rabu</v>
      </c>
      <c r="M357" s="2" t="str">
        <f>MID(K357,FIND(",",K357)+2,LEN(K357))</f>
        <v>10:00 - 10:50</v>
      </c>
      <c r="N357" s="1" t="s">
        <v>177</v>
      </c>
    </row>
    <row r="358" spans="2:14" ht="30" customHeight="1" x14ac:dyDescent="0.3">
      <c r="B358" s="2">
        <v>34</v>
      </c>
      <c r="C358" s="2" t="s">
        <v>568</v>
      </c>
      <c r="D358" s="2">
        <v>52</v>
      </c>
      <c r="E358" s="2">
        <v>33</v>
      </c>
      <c r="F358" s="1" t="s">
        <v>237</v>
      </c>
      <c r="G358" s="1" t="s">
        <v>173</v>
      </c>
      <c r="H358" s="2" t="s">
        <v>238</v>
      </c>
      <c r="I358" s="11" t="s">
        <v>504</v>
      </c>
      <c r="J358" s="1" t="s">
        <v>254</v>
      </c>
      <c r="K358" s="1" t="s">
        <v>218</v>
      </c>
      <c r="L358" s="2" t="str">
        <f>LEFT(K358,FIND( ",",K358)-1)</f>
        <v>Rabu</v>
      </c>
      <c r="M358" s="2" t="str">
        <f>MID(K358,FIND(",",K358)+2,LEN(K358))</f>
        <v>14:00 - 14:50</v>
      </c>
      <c r="N358" s="1" t="s">
        <v>177</v>
      </c>
    </row>
    <row r="359" spans="2:14" ht="30" customHeight="1" x14ac:dyDescent="0.3">
      <c r="B359" s="2">
        <v>34</v>
      </c>
      <c r="C359" s="2" t="s">
        <v>568</v>
      </c>
      <c r="D359" s="2">
        <v>52</v>
      </c>
      <c r="E359" s="2">
        <v>33</v>
      </c>
      <c r="F359" s="1" t="s">
        <v>237</v>
      </c>
      <c r="G359" s="1" t="s">
        <v>173</v>
      </c>
      <c r="H359" s="2" t="s">
        <v>238</v>
      </c>
      <c r="I359" s="11" t="s">
        <v>504</v>
      </c>
      <c r="J359" s="1" t="s">
        <v>474</v>
      </c>
      <c r="K359" s="1" t="s">
        <v>218</v>
      </c>
      <c r="L359" s="2" t="str">
        <f>LEFT(K359,FIND( ",",K359)-1)</f>
        <v>Rabu</v>
      </c>
      <c r="M359" s="2" t="str">
        <f>MID(K359,FIND(",",K359)+2,LEN(K359))</f>
        <v>14:00 - 14:50</v>
      </c>
      <c r="N359" s="1" t="s">
        <v>177</v>
      </c>
    </row>
    <row r="360" spans="2:14" ht="30" customHeight="1" x14ac:dyDescent="0.3">
      <c r="B360" s="2">
        <v>34</v>
      </c>
      <c r="C360" s="2" t="s">
        <v>568</v>
      </c>
      <c r="D360" s="2">
        <v>52</v>
      </c>
      <c r="E360" s="2">
        <v>16</v>
      </c>
      <c r="F360" s="1" t="s">
        <v>572</v>
      </c>
      <c r="G360" s="1" t="s">
        <v>173</v>
      </c>
      <c r="H360" s="2" t="s">
        <v>573</v>
      </c>
      <c r="I360" s="11" t="s">
        <v>573</v>
      </c>
      <c r="J360" s="1" t="s">
        <v>170</v>
      </c>
      <c r="K360" s="1" t="s">
        <v>320</v>
      </c>
      <c r="L360" s="2" t="str">
        <f>LEFT(K360,FIND( ",",K360)-1)</f>
        <v>Rabu</v>
      </c>
      <c r="M360" s="2" t="str">
        <f>MID(K360,FIND(",",K360)+2,LEN(K360))</f>
        <v>16:00 - 17:40</v>
      </c>
      <c r="N360" s="1" t="s">
        <v>177</v>
      </c>
    </row>
    <row r="361" spans="2:14" ht="30" hidden="1" customHeight="1" x14ac:dyDescent="0.3">
      <c r="B361" s="2">
        <v>34</v>
      </c>
      <c r="C361" s="2" t="s">
        <v>568</v>
      </c>
      <c r="D361" s="2">
        <v>52</v>
      </c>
      <c r="E361" s="2">
        <v>0</v>
      </c>
      <c r="F361" s="1" t="s">
        <v>569</v>
      </c>
      <c r="G361" s="1" t="s">
        <v>173</v>
      </c>
      <c r="H361" s="2" t="s">
        <v>570</v>
      </c>
      <c r="I361" s="11" t="s">
        <v>570</v>
      </c>
      <c r="J361" s="1" t="s">
        <v>407</v>
      </c>
      <c r="K361" s="1" t="s">
        <v>29</v>
      </c>
      <c r="L361" s="2" t="str">
        <f>LEFT(K361,FIND( ",",K361)-1)</f>
        <v>Selasa</v>
      </c>
      <c r="M361" s="2" t="str">
        <f>MID(K361,FIND(",",K361)+2,LEN(K361))</f>
        <v>08:00 - 09:40</v>
      </c>
      <c r="N361" s="1" t="s">
        <v>177</v>
      </c>
    </row>
    <row r="362" spans="2:14" ht="30" hidden="1" customHeight="1" x14ac:dyDescent="0.3">
      <c r="B362" s="2">
        <v>34</v>
      </c>
      <c r="C362" s="2" t="s">
        <v>568</v>
      </c>
      <c r="D362" s="2">
        <v>52</v>
      </c>
      <c r="E362" s="2">
        <v>31</v>
      </c>
      <c r="F362" s="1" t="s">
        <v>534</v>
      </c>
      <c r="G362" s="1" t="s">
        <v>173</v>
      </c>
      <c r="H362" s="2" t="s">
        <v>535</v>
      </c>
      <c r="I362" s="11" t="s">
        <v>536</v>
      </c>
      <c r="J362" s="1" t="s">
        <v>471</v>
      </c>
      <c r="K362" s="1" t="s">
        <v>571</v>
      </c>
      <c r="L362" s="2" t="str">
        <f>LEFT(K362,FIND( ",",K362)-1)</f>
        <v>Selasa</v>
      </c>
      <c r="M362" s="2" t="str">
        <f>MID(K362,FIND(",",K362)+2,LEN(K362))</f>
        <v>10:00 - 11:50</v>
      </c>
      <c r="N362" s="1" t="s">
        <v>177</v>
      </c>
    </row>
    <row r="363" spans="2:14" ht="30" hidden="1" customHeight="1" x14ac:dyDescent="0.3">
      <c r="B363" s="2">
        <v>34</v>
      </c>
      <c r="C363" s="2" t="s">
        <v>568</v>
      </c>
      <c r="D363" s="2">
        <v>52</v>
      </c>
      <c r="E363" s="2">
        <v>22</v>
      </c>
      <c r="F363" s="1" t="s">
        <v>264</v>
      </c>
      <c r="G363" s="1" t="s">
        <v>220</v>
      </c>
      <c r="H363" s="2" t="s">
        <v>265</v>
      </c>
      <c r="I363" s="11" t="s">
        <v>266</v>
      </c>
      <c r="J363" s="1" t="s">
        <v>267</v>
      </c>
      <c r="K363" s="1" t="s">
        <v>5</v>
      </c>
      <c r="L363" s="2" t="str">
        <f>LEFT(K363,FIND( ",",K363)-1)</f>
        <v>Senin</v>
      </c>
      <c r="M363" s="2" t="str">
        <f>MID(K363,FIND(",",K363)+2,LEN(K363))</f>
        <v>08:00 - 09:40</v>
      </c>
      <c r="N363" s="1" t="s">
        <v>224</v>
      </c>
    </row>
    <row r="364" spans="2:14" ht="30" hidden="1" customHeight="1" x14ac:dyDescent="0.3">
      <c r="B364" s="2">
        <v>34</v>
      </c>
      <c r="C364" s="2" t="s">
        <v>568</v>
      </c>
      <c r="D364" s="2">
        <v>52</v>
      </c>
      <c r="E364" s="2">
        <v>46</v>
      </c>
      <c r="F364" s="1" t="s">
        <v>237</v>
      </c>
      <c r="G364" s="1" t="s">
        <v>173</v>
      </c>
      <c r="H364" s="2" t="s">
        <v>238</v>
      </c>
      <c r="I364" s="11" t="s">
        <v>518</v>
      </c>
      <c r="J364" s="1" t="s">
        <v>474</v>
      </c>
      <c r="K364" s="1" t="s">
        <v>12</v>
      </c>
      <c r="L364" s="2" t="str">
        <f>LEFT(K364,FIND( ",",K364)-1)</f>
        <v>Senin</v>
      </c>
      <c r="M364" s="2" t="str">
        <f>MID(K364,FIND(",",K364)+2,LEN(K364))</f>
        <v>10:00 - 11:40</v>
      </c>
      <c r="N364" s="1" t="s">
        <v>177</v>
      </c>
    </row>
    <row r="365" spans="2:14" ht="30" hidden="1" customHeight="1" x14ac:dyDescent="0.3">
      <c r="B365" s="2">
        <v>34</v>
      </c>
      <c r="C365" s="2" t="s">
        <v>568</v>
      </c>
      <c r="D365" s="2">
        <v>52</v>
      </c>
      <c r="E365" s="2">
        <v>33</v>
      </c>
      <c r="F365" s="1" t="s">
        <v>237</v>
      </c>
      <c r="G365" s="1" t="s">
        <v>173</v>
      </c>
      <c r="H365" s="2" t="s">
        <v>238</v>
      </c>
      <c r="I365" s="11" t="s">
        <v>504</v>
      </c>
      <c r="J365" s="1" t="s">
        <v>254</v>
      </c>
      <c r="K365" s="1" t="s">
        <v>19</v>
      </c>
      <c r="L365" s="2" t="str">
        <f>LEFT(K365,FIND( ",",K365)-1)</f>
        <v>Senin</v>
      </c>
      <c r="M365" s="2" t="str">
        <f>MID(K365,FIND(",",K365)+2,LEN(K365))</f>
        <v>13:00 - 14:40</v>
      </c>
      <c r="N365" s="1" t="s">
        <v>177</v>
      </c>
    </row>
    <row r="366" spans="2:14" ht="30" hidden="1" customHeight="1" x14ac:dyDescent="0.3">
      <c r="B366" s="2">
        <v>34</v>
      </c>
      <c r="C366" s="2" t="s">
        <v>568</v>
      </c>
      <c r="D366" s="2">
        <v>52</v>
      </c>
      <c r="E366" s="2">
        <v>33</v>
      </c>
      <c r="F366" s="1" t="s">
        <v>237</v>
      </c>
      <c r="G366" s="1" t="s">
        <v>173</v>
      </c>
      <c r="H366" s="2" t="s">
        <v>238</v>
      </c>
      <c r="I366" s="11" t="s">
        <v>504</v>
      </c>
      <c r="J366" s="1" t="s">
        <v>474</v>
      </c>
      <c r="K366" s="1" t="s">
        <v>19</v>
      </c>
      <c r="L366" s="2" t="str">
        <f>LEFT(K366,FIND( ",",K366)-1)</f>
        <v>Senin</v>
      </c>
      <c r="M366" s="2" t="str">
        <f>MID(K366,FIND(",",K366)+2,LEN(K366))</f>
        <v>13:00 - 14:40</v>
      </c>
      <c r="N366" s="1" t="s">
        <v>177</v>
      </c>
    </row>
    <row r="367" spans="2:14" ht="30" hidden="1" customHeight="1" x14ac:dyDescent="0.3">
      <c r="B367" s="5">
        <v>35</v>
      </c>
      <c r="C367" s="5" t="s">
        <v>574</v>
      </c>
      <c r="D367" s="5">
        <v>31</v>
      </c>
      <c r="E367" s="5">
        <v>10</v>
      </c>
      <c r="F367" s="7" t="s">
        <v>302</v>
      </c>
      <c r="G367" s="7" t="s">
        <v>576</v>
      </c>
      <c r="H367" s="5" t="s">
        <v>303</v>
      </c>
      <c r="I367" s="10" t="s">
        <v>579</v>
      </c>
      <c r="J367" s="7" t="s">
        <v>514</v>
      </c>
      <c r="K367" s="7" t="s">
        <v>567</v>
      </c>
      <c r="L367" s="5" t="str">
        <f>LEFT(K367,FIND( ",",K367)-1)</f>
        <v>Jumat</v>
      </c>
      <c r="M367" s="5" t="str">
        <f>MID(K367,FIND(",",K367)+2,LEN(K367))</f>
        <v>10:00 - 10:50</v>
      </c>
      <c r="N367" s="7" t="s">
        <v>578</v>
      </c>
    </row>
    <row r="368" spans="2:14" ht="30" hidden="1" customHeight="1" x14ac:dyDescent="0.3">
      <c r="B368" s="2">
        <v>34</v>
      </c>
      <c r="C368" s="2" t="s">
        <v>568</v>
      </c>
      <c r="D368" s="2">
        <v>52</v>
      </c>
      <c r="E368" s="2">
        <v>31</v>
      </c>
      <c r="F368" s="1" t="s">
        <v>534</v>
      </c>
      <c r="G368" s="1" t="s">
        <v>173</v>
      </c>
      <c r="H368" s="2" t="s">
        <v>535</v>
      </c>
      <c r="I368" s="11" t="s">
        <v>536</v>
      </c>
      <c r="J368" s="1" t="s">
        <v>471</v>
      </c>
      <c r="K368" s="1" t="s">
        <v>235</v>
      </c>
      <c r="L368" s="2" t="str">
        <f>LEFT(K368,FIND( ",",K368)-1)</f>
        <v>Kamis</v>
      </c>
      <c r="M368" s="2" t="str">
        <f>MID(K368,FIND(",",K368)+2,LEN(K368))</f>
        <v>15:00 - 15:50</v>
      </c>
      <c r="N368" s="1" t="s">
        <v>177</v>
      </c>
    </row>
    <row r="369" spans="2:14" ht="30" hidden="1" customHeight="1" x14ac:dyDescent="0.3">
      <c r="B369" s="2">
        <v>12</v>
      </c>
      <c r="C369" s="2" t="s">
        <v>171</v>
      </c>
      <c r="D369" s="2">
        <v>50</v>
      </c>
      <c r="E369" s="2">
        <v>2</v>
      </c>
      <c r="F369" s="1" t="s">
        <v>198</v>
      </c>
      <c r="G369" s="1" t="s">
        <v>173</v>
      </c>
      <c r="H369" s="2" t="s">
        <v>199</v>
      </c>
      <c r="I369" s="11" t="s">
        <v>200</v>
      </c>
      <c r="J369" s="1" t="s">
        <v>201</v>
      </c>
      <c r="K369" s="1" t="s">
        <v>202</v>
      </c>
      <c r="L369" s="2" t="str">
        <f>LEFT(K369,FIND( ",",K369)-1)</f>
        <v>Kamis</v>
      </c>
      <c r="M369" s="2" t="str">
        <f>MID(K369,FIND(",",K369)+2,LEN(K369))</f>
        <v>15:00 - 16:40</v>
      </c>
      <c r="N369" s="1" t="s">
        <v>177</v>
      </c>
    </row>
    <row r="370" spans="2:14" ht="30" customHeight="1" x14ac:dyDescent="0.3">
      <c r="B370" s="5">
        <v>35</v>
      </c>
      <c r="C370" s="5" t="s">
        <v>574</v>
      </c>
      <c r="D370" s="5">
        <v>31</v>
      </c>
      <c r="E370" s="5">
        <v>10</v>
      </c>
      <c r="F370" s="7" t="s">
        <v>575</v>
      </c>
      <c r="G370" s="7" t="s">
        <v>576</v>
      </c>
      <c r="H370" s="5" t="s">
        <v>221</v>
      </c>
      <c r="I370" s="10" t="s">
        <v>577</v>
      </c>
      <c r="J370" s="7" t="s">
        <v>36</v>
      </c>
      <c r="K370" s="7" t="s">
        <v>261</v>
      </c>
      <c r="L370" s="5" t="str">
        <f>LEFT(K370,FIND( ",",K370)-1)</f>
        <v>Rabu</v>
      </c>
      <c r="M370" s="5" t="str">
        <f>MID(K370,FIND(",",K370)+2,LEN(K370))</f>
        <v>11:00 - 11:50</v>
      </c>
      <c r="N370" s="7" t="s">
        <v>578</v>
      </c>
    </row>
    <row r="371" spans="2:14" ht="30" hidden="1" customHeight="1" x14ac:dyDescent="0.3">
      <c r="B371" s="5">
        <v>35</v>
      </c>
      <c r="C371" s="5" t="s">
        <v>574</v>
      </c>
      <c r="D371" s="5">
        <v>31</v>
      </c>
      <c r="E371" s="5">
        <v>10</v>
      </c>
      <c r="F371" s="7" t="s">
        <v>302</v>
      </c>
      <c r="G371" s="7" t="s">
        <v>576</v>
      </c>
      <c r="H371" s="5" t="s">
        <v>303</v>
      </c>
      <c r="I371" s="10" t="s">
        <v>579</v>
      </c>
      <c r="J371" s="7" t="s">
        <v>514</v>
      </c>
      <c r="K371" s="7" t="s">
        <v>37</v>
      </c>
      <c r="L371" s="5" t="str">
        <f>LEFT(K371,FIND( ",",K371)-1)</f>
        <v>Selasa</v>
      </c>
      <c r="M371" s="5" t="str">
        <f>MID(K371,FIND(",",K371)+2,LEN(K371))</f>
        <v>10:00 - 11:40</v>
      </c>
      <c r="N371" s="7" t="s">
        <v>578</v>
      </c>
    </row>
    <row r="372" spans="2:14" ht="30" hidden="1" customHeight="1" x14ac:dyDescent="0.3">
      <c r="B372" s="5">
        <v>35</v>
      </c>
      <c r="C372" s="5" t="s">
        <v>574</v>
      </c>
      <c r="D372" s="5">
        <v>31</v>
      </c>
      <c r="E372" s="5">
        <v>9</v>
      </c>
      <c r="F372" s="7" t="s">
        <v>341</v>
      </c>
      <c r="G372" s="7" t="s">
        <v>576</v>
      </c>
      <c r="H372" s="5" t="s">
        <v>342</v>
      </c>
      <c r="I372" s="10" t="s">
        <v>580</v>
      </c>
      <c r="J372" s="7" t="s">
        <v>495</v>
      </c>
      <c r="K372" s="7" t="s">
        <v>344</v>
      </c>
      <c r="L372" s="5" t="str">
        <f>LEFT(K372,FIND( ",",K372)-1)</f>
        <v>Selasa</v>
      </c>
      <c r="M372" s="5" t="str">
        <f>MID(K372,FIND(",",K372)+2,LEN(K372))</f>
        <v>13:00 - 15:30</v>
      </c>
      <c r="N372" s="7" t="s">
        <v>578</v>
      </c>
    </row>
    <row r="373" spans="2:14" ht="30" hidden="1" customHeight="1" x14ac:dyDescent="0.3">
      <c r="B373" s="5">
        <v>35</v>
      </c>
      <c r="C373" s="5" t="s">
        <v>574</v>
      </c>
      <c r="D373" s="5">
        <v>31</v>
      </c>
      <c r="E373" s="5">
        <v>10</v>
      </c>
      <c r="F373" s="7" t="s">
        <v>581</v>
      </c>
      <c r="G373" s="7" t="s">
        <v>576</v>
      </c>
      <c r="H373" s="5" t="s">
        <v>582</v>
      </c>
      <c r="I373" s="10" t="s">
        <v>583</v>
      </c>
      <c r="J373" s="7"/>
      <c r="K373" s="7" t="s">
        <v>257</v>
      </c>
      <c r="L373" s="5" t="str">
        <f>LEFT(K373,FIND( ",",K373)-1)</f>
        <v>Selasa</v>
      </c>
      <c r="M373" s="5" t="str">
        <f>MID(K373,FIND(",",K373)+2,LEN(K373))</f>
        <v>16:00 - 16:50</v>
      </c>
      <c r="N373" s="7" t="s">
        <v>578</v>
      </c>
    </row>
    <row r="374" spans="2:14" ht="30" hidden="1" customHeight="1" x14ac:dyDescent="0.3">
      <c r="B374" s="5">
        <v>35</v>
      </c>
      <c r="C374" s="5" t="s">
        <v>574</v>
      </c>
      <c r="D374" s="5">
        <v>31</v>
      </c>
      <c r="E374" s="5">
        <v>10</v>
      </c>
      <c r="F374" s="7" t="s">
        <v>575</v>
      </c>
      <c r="G374" s="7" t="s">
        <v>576</v>
      </c>
      <c r="H374" s="5" t="s">
        <v>221</v>
      </c>
      <c r="I374" s="10" t="s">
        <v>577</v>
      </c>
      <c r="J374" s="7" t="s">
        <v>36</v>
      </c>
      <c r="K374" s="7" t="s">
        <v>5</v>
      </c>
      <c r="L374" s="5" t="str">
        <f>LEFT(K374,FIND( ",",K374)-1)</f>
        <v>Senin</v>
      </c>
      <c r="M374" s="5" t="str">
        <f>MID(K374,FIND(",",K374)+2,LEN(K374))</f>
        <v>08:00 - 09:40</v>
      </c>
      <c r="N374" s="7" t="s">
        <v>578</v>
      </c>
    </row>
    <row r="375" spans="2:14" ht="30" hidden="1" customHeight="1" x14ac:dyDescent="0.3">
      <c r="B375" s="2">
        <v>12</v>
      </c>
      <c r="C375" s="2" t="s">
        <v>171</v>
      </c>
      <c r="D375" s="2">
        <v>50</v>
      </c>
      <c r="E375" s="2">
        <v>2</v>
      </c>
      <c r="F375" s="1" t="s">
        <v>198</v>
      </c>
      <c r="G375" s="1" t="s">
        <v>173</v>
      </c>
      <c r="H375" s="2" t="s">
        <v>199</v>
      </c>
      <c r="I375" s="11" t="s">
        <v>200</v>
      </c>
      <c r="J375" s="1" t="s">
        <v>51</v>
      </c>
      <c r="K375" s="1" t="s">
        <v>202</v>
      </c>
      <c r="L375" s="2" t="str">
        <f>LEFT(K375,FIND( ",",K375)-1)</f>
        <v>Kamis</v>
      </c>
      <c r="M375" s="2" t="str">
        <f>MID(K375,FIND(",",K375)+2,LEN(K375))</f>
        <v>15:00 - 16:40</v>
      </c>
      <c r="N375" s="1" t="s">
        <v>177</v>
      </c>
    </row>
    <row r="376" spans="2:14" ht="30" hidden="1" customHeight="1" x14ac:dyDescent="0.3">
      <c r="B376" s="5">
        <v>21</v>
      </c>
      <c r="C376" s="5" t="s">
        <v>390</v>
      </c>
      <c r="D376" s="5">
        <v>75</v>
      </c>
      <c r="E376" s="5">
        <v>13</v>
      </c>
      <c r="F376" s="7" t="s">
        <v>337</v>
      </c>
      <c r="G376" s="7" t="s">
        <v>173</v>
      </c>
      <c r="H376" s="5" t="s">
        <v>338</v>
      </c>
      <c r="I376" s="10" t="s">
        <v>353</v>
      </c>
      <c r="J376" s="7" t="s">
        <v>354</v>
      </c>
      <c r="K376" s="7" t="s">
        <v>202</v>
      </c>
      <c r="L376" s="5" t="str">
        <f>LEFT(K376,FIND( ",",K376)-1)</f>
        <v>Kamis</v>
      </c>
      <c r="M376" s="5" t="str">
        <f>MID(K376,FIND(",",K376)+2,LEN(K376))</f>
        <v>15:00 - 16:40</v>
      </c>
      <c r="N376" s="7" t="s">
        <v>177</v>
      </c>
    </row>
    <row r="377" spans="2:14" ht="30" hidden="1" customHeight="1" x14ac:dyDescent="0.3">
      <c r="B377" s="2">
        <v>42</v>
      </c>
      <c r="C377" s="2" t="s">
        <v>612</v>
      </c>
      <c r="D377" s="2">
        <v>80</v>
      </c>
      <c r="E377" s="2">
        <v>60</v>
      </c>
      <c r="F377" s="1" t="s">
        <v>297</v>
      </c>
      <c r="G377" s="1" t="s">
        <v>220</v>
      </c>
      <c r="H377" s="2" t="s">
        <v>298</v>
      </c>
      <c r="I377" s="11" t="s">
        <v>473</v>
      </c>
      <c r="J377" s="1" t="s">
        <v>474</v>
      </c>
      <c r="K377" s="1" t="s">
        <v>202</v>
      </c>
      <c r="L377" s="2" t="str">
        <f>LEFT(K377,FIND( ",",K377)-1)</f>
        <v>Kamis</v>
      </c>
      <c r="M377" s="2" t="str">
        <f>MID(K377,FIND(",",K377)+2,LEN(K377))</f>
        <v>15:00 - 16:40</v>
      </c>
      <c r="N377" s="1" t="s">
        <v>224</v>
      </c>
    </row>
    <row r="378" spans="2:14" ht="30" hidden="1" customHeight="1" x14ac:dyDescent="0.3">
      <c r="B378" s="2">
        <v>42</v>
      </c>
      <c r="C378" s="2" t="s">
        <v>612</v>
      </c>
      <c r="D378" s="2">
        <v>80</v>
      </c>
      <c r="E378" s="2">
        <v>60</v>
      </c>
      <c r="F378" s="1" t="s">
        <v>297</v>
      </c>
      <c r="G378" s="1" t="s">
        <v>220</v>
      </c>
      <c r="H378" s="2" t="s">
        <v>298</v>
      </c>
      <c r="I378" s="11" t="s">
        <v>473</v>
      </c>
      <c r="J378" s="1" t="s">
        <v>229</v>
      </c>
      <c r="K378" s="1" t="s">
        <v>202</v>
      </c>
      <c r="L378" s="2" t="str">
        <f>LEFT(K378,FIND( ",",K378)-1)</f>
        <v>Kamis</v>
      </c>
      <c r="M378" s="2" t="str">
        <f>MID(K378,FIND(",",K378)+2,LEN(K378))</f>
        <v>15:00 - 16:40</v>
      </c>
      <c r="N378" s="1" t="s">
        <v>224</v>
      </c>
    </row>
    <row r="379" spans="2:14" ht="30" customHeight="1" x14ac:dyDescent="0.3">
      <c r="B379" s="2">
        <v>36</v>
      </c>
      <c r="C379" s="2" t="s">
        <v>584</v>
      </c>
      <c r="D379" s="2">
        <v>80</v>
      </c>
      <c r="E379" s="2">
        <v>44</v>
      </c>
      <c r="F379" s="1" t="s">
        <v>397</v>
      </c>
      <c r="G379" s="1" t="s">
        <v>220</v>
      </c>
      <c r="H379" s="2" t="s">
        <v>398</v>
      </c>
      <c r="I379" s="11" t="s">
        <v>592</v>
      </c>
      <c r="J379" s="1" t="s">
        <v>541</v>
      </c>
      <c r="K379" s="1" t="s">
        <v>23</v>
      </c>
      <c r="L379" s="2" t="str">
        <f>LEFT(K379,FIND( ",",K379)-1)</f>
        <v>Rabu</v>
      </c>
      <c r="M379" s="2" t="str">
        <f>MID(K379,FIND(",",K379)+2,LEN(K379))</f>
        <v>08:00 - 09:40</v>
      </c>
      <c r="N379" s="1" t="s">
        <v>224</v>
      </c>
    </row>
    <row r="380" spans="2:14" ht="30" customHeight="1" x14ac:dyDescent="0.3">
      <c r="B380" s="2">
        <v>36</v>
      </c>
      <c r="C380" s="2" t="s">
        <v>584</v>
      </c>
      <c r="D380" s="2">
        <v>80</v>
      </c>
      <c r="E380" s="2">
        <v>43</v>
      </c>
      <c r="F380" s="1" t="s">
        <v>393</v>
      </c>
      <c r="G380" s="1" t="s">
        <v>220</v>
      </c>
      <c r="H380" s="2" t="s">
        <v>394</v>
      </c>
      <c r="I380" s="11" t="s">
        <v>587</v>
      </c>
      <c r="J380" s="1" t="s">
        <v>267</v>
      </c>
      <c r="K380" s="1" t="s">
        <v>261</v>
      </c>
      <c r="L380" s="2" t="str">
        <f>LEFT(K380,FIND( ",",K380)-1)</f>
        <v>Rabu</v>
      </c>
      <c r="M380" s="2" t="str">
        <f>MID(K380,FIND(",",K380)+2,LEN(K380))</f>
        <v>11:00 - 11:50</v>
      </c>
      <c r="N380" s="1" t="s">
        <v>224</v>
      </c>
    </row>
    <row r="381" spans="2:14" ht="30" customHeight="1" x14ac:dyDescent="0.3">
      <c r="B381" s="2">
        <v>36</v>
      </c>
      <c r="C381" s="2" t="s">
        <v>584</v>
      </c>
      <c r="D381" s="2">
        <v>80</v>
      </c>
      <c r="E381" s="2">
        <v>41</v>
      </c>
      <c r="F381" s="1" t="s">
        <v>393</v>
      </c>
      <c r="G381" s="1" t="s">
        <v>220</v>
      </c>
      <c r="H381" s="2" t="s">
        <v>394</v>
      </c>
      <c r="I381" s="11" t="s">
        <v>588</v>
      </c>
      <c r="J381" s="1" t="s">
        <v>462</v>
      </c>
      <c r="K381" s="1" t="s">
        <v>218</v>
      </c>
      <c r="L381" s="2" t="str">
        <f>LEFT(K381,FIND( ",",K381)-1)</f>
        <v>Rabu</v>
      </c>
      <c r="M381" s="2" t="str">
        <f>MID(K381,FIND(",",K381)+2,LEN(K381))</f>
        <v>14:00 - 14:50</v>
      </c>
      <c r="N381" s="1" t="s">
        <v>224</v>
      </c>
    </row>
    <row r="382" spans="2:14" ht="30" hidden="1" customHeight="1" x14ac:dyDescent="0.3">
      <c r="B382" s="2">
        <v>36</v>
      </c>
      <c r="C382" s="2" t="s">
        <v>584</v>
      </c>
      <c r="D382" s="2">
        <v>80</v>
      </c>
      <c r="E382" s="2">
        <v>42</v>
      </c>
      <c r="F382" s="1" t="s">
        <v>397</v>
      </c>
      <c r="G382" s="1" t="s">
        <v>220</v>
      </c>
      <c r="H382" s="2" t="s">
        <v>398</v>
      </c>
      <c r="I382" s="11" t="s">
        <v>589</v>
      </c>
      <c r="J382" s="1" t="s">
        <v>541</v>
      </c>
      <c r="K382" s="1" t="s">
        <v>29</v>
      </c>
      <c r="L382" s="2" t="str">
        <f>LEFT(K382,FIND( ",",K382)-1)</f>
        <v>Selasa</v>
      </c>
      <c r="M382" s="2" t="str">
        <f>MID(K382,FIND(",",K382)+2,LEN(K382))</f>
        <v>08:00 - 09:40</v>
      </c>
      <c r="N382" s="1" t="s">
        <v>224</v>
      </c>
    </row>
    <row r="383" spans="2:14" ht="30" hidden="1" customHeight="1" x14ac:dyDescent="0.3">
      <c r="B383" s="2">
        <v>36</v>
      </c>
      <c r="C383" s="2" t="s">
        <v>584</v>
      </c>
      <c r="D383" s="2">
        <v>80</v>
      </c>
      <c r="E383" s="2">
        <v>34</v>
      </c>
      <c r="F383" s="1" t="s">
        <v>251</v>
      </c>
      <c r="G383" s="1" t="s">
        <v>220</v>
      </c>
      <c r="H383" s="2" t="s">
        <v>252</v>
      </c>
      <c r="I383" s="11" t="s">
        <v>481</v>
      </c>
      <c r="J383" s="1" t="s">
        <v>305</v>
      </c>
      <c r="K383" s="1" t="s">
        <v>37</v>
      </c>
      <c r="L383" s="2" t="str">
        <f>LEFT(K383,FIND( ",",K383)-1)</f>
        <v>Selasa</v>
      </c>
      <c r="M383" s="2" t="str">
        <f>MID(K383,FIND(",",K383)+2,LEN(K383))</f>
        <v>10:00 - 11:40</v>
      </c>
      <c r="N383" s="1" t="s">
        <v>224</v>
      </c>
    </row>
    <row r="384" spans="2:14" ht="30" hidden="1" customHeight="1" x14ac:dyDescent="0.3">
      <c r="B384" s="2">
        <v>36</v>
      </c>
      <c r="C384" s="2" t="s">
        <v>584</v>
      </c>
      <c r="D384" s="2">
        <v>80</v>
      </c>
      <c r="E384" s="2">
        <v>47</v>
      </c>
      <c r="F384" s="1" t="s">
        <v>251</v>
      </c>
      <c r="G384" s="1" t="s">
        <v>220</v>
      </c>
      <c r="H384" s="2" t="s">
        <v>252</v>
      </c>
      <c r="I384" s="11" t="s">
        <v>590</v>
      </c>
      <c r="J384" s="1" t="s">
        <v>254</v>
      </c>
      <c r="K384" s="1" t="s">
        <v>591</v>
      </c>
      <c r="L384" s="2" t="str">
        <f>LEFT(K384,FIND( ",",K384)-1)</f>
        <v>Selasa</v>
      </c>
      <c r="M384" s="2" t="str">
        <f>MID(K384,FIND(",",K384)+2,LEN(K384))</f>
        <v>13:00 - 14:50</v>
      </c>
      <c r="N384" s="1" t="s">
        <v>224</v>
      </c>
    </row>
    <row r="385" spans="2:14" ht="30" hidden="1" customHeight="1" x14ac:dyDescent="0.3">
      <c r="B385" s="2">
        <v>36</v>
      </c>
      <c r="C385" s="2" t="s">
        <v>584</v>
      </c>
      <c r="D385" s="2">
        <v>80</v>
      </c>
      <c r="E385" s="2">
        <v>47</v>
      </c>
      <c r="F385" s="1" t="s">
        <v>251</v>
      </c>
      <c r="G385" s="1" t="s">
        <v>220</v>
      </c>
      <c r="H385" s="2" t="s">
        <v>252</v>
      </c>
      <c r="I385" s="11" t="s">
        <v>590</v>
      </c>
      <c r="J385" s="1" t="s">
        <v>254</v>
      </c>
      <c r="K385" s="1" t="s">
        <v>257</v>
      </c>
      <c r="L385" s="2" t="str">
        <f>LEFT(K385,FIND( ",",K385)-1)</f>
        <v>Selasa</v>
      </c>
      <c r="M385" s="2" t="str">
        <f>MID(K385,FIND(",",K385)+2,LEN(K385))</f>
        <v>16:00 - 16:50</v>
      </c>
      <c r="N385" s="1" t="s">
        <v>224</v>
      </c>
    </row>
    <row r="386" spans="2:14" ht="30" hidden="1" customHeight="1" x14ac:dyDescent="0.3">
      <c r="B386" s="2">
        <v>36</v>
      </c>
      <c r="C386" s="2" t="s">
        <v>584</v>
      </c>
      <c r="D386" s="2">
        <v>80</v>
      </c>
      <c r="E386" s="2">
        <v>21</v>
      </c>
      <c r="F386" s="1" t="s">
        <v>172</v>
      </c>
      <c r="G386" s="1" t="s">
        <v>220</v>
      </c>
      <c r="H386" s="2" t="s">
        <v>174</v>
      </c>
      <c r="I386" s="11" t="s">
        <v>585</v>
      </c>
      <c r="J386" s="1" t="s">
        <v>586</v>
      </c>
      <c r="K386" s="1" t="s">
        <v>5</v>
      </c>
      <c r="L386" s="2" t="str">
        <f>LEFT(K386,FIND( ",",K386)-1)</f>
        <v>Senin</v>
      </c>
      <c r="M386" s="2" t="str">
        <f>MID(K386,FIND(",",K386)+2,LEN(K386))</f>
        <v>08:00 - 09:40</v>
      </c>
      <c r="N386" s="1" t="s">
        <v>224</v>
      </c>
    </row>
    <row r="387" spans="2:14" ht="30" hidden="1" customHeight="1" x14ac:dyDescent="0.3">
      <c r="B387" s="2">
        <v>36</v>
      </c>
      <c r="C387" s="2" t="s">
        <v>584</v>
      </c>
      <c r="D387" s="2">
        <v>80</v>
      </c>
      <c r="E387" s="2">
        <v>43</v>
      </c>
      <c r="F387" s="1" t="s">
        <v>393</v>
      </c>
      <c r="G387" s="1" t="s">
        <v>220</v>
      </c>
      <c r="H387" s="2" t="s">
        <v>394</v>
      </c>
      <c r="I387" s="11" t="s">
        <v>587</v>
      </c>
      <c r="J387" s="1" t="s">
        <v>267</v>
      </c>
      <c r="K387" s="1" t="s">
        <v>12</v>
      </c>
      <c r="L387" s="2" t="str">
        <f>LEFT(K387,FIND( ",",K387)-1)</f>
        <v>Senin</v>
      </c>
      <c r="M387" s="2" t="str">
        <f>MID(K387,FIND(",",K387)+2,LEN(K387))</f>
        <v>10:00 - 11:40</v>
      </c>
      <c r="N387" s="1" t="s">
        <v>224</v>
      </c>
    </row>
    <row r="388" spans="2:14" ht="30" hidden="1" customHeight="1" x14ac:dyDescent="0.3">
      <c r="B388" s="2">
        <v>36</v>
      </c>
      <c r="C388" s="2" t="s">
        <v>584</v>
      </c>
      <c r="D388" s="2">
        <v>80</v>
      </c>
      <c r="E388" s="2">
        <v>41</v>
      </c>
      <c r="F388" s="1" t="s">
        <v>393</v>
      </c>
      <c r="G388" s="1" t="s">
        <v>220</v>
      </c>
      <c r="H388" s="2" t="s">
        <v>394</v>
      </c>
      <c r="I388" s="11" t="s">
        <v>588</v>
      </c>
      <c r="J388" s="1" t="s">
        <v>462</v>
      </c>
      <c r="K388" s="1" t="s">
        <v>19</v>
      </c>
      <c r="L388" s="2" t="str">
        <f>LEFT(K388,FIND( ",",K388)-1)</f>
        <v>Senin</v>
      </c>
      <c r="M388" s="2" t="str">
        <f>MID(K388,FIND(",",K388)+2,LEN(K388))</f>
        <v>13:00 - 14:40</v>
      </c>
      <c r="N388" s="1" t="s">
        <v>224</v>
      </c>
    </row>
    <row r="389" spans="2:14" ht="30" hidden="1" customHeight="1" x14ac:dyDescent="0.3">
      <c r="B389" s="5">
        <v>37</v>
      </c>
      <c r="C389" s="5" t="s">
        <v>593</v>
      </c>
      <c r="D389" s="5">
        <v>40</v>
      </c>
      <c r="E389" s="5">
        <v>32</v>
      </c>
      <c r="F389" s="7" t="s">
        <v>415</v>
      </c>
      <c r="G389" s="7" t="s">
        <v>576</v>
      </c>
      <c r="H389" s="5" t="s">
        <v>416</v>
      </c>
      <c r="I389" s="10" t="s">
        <v>597</v>
      </c>
      <c r="J389" s="7" t="s">
        <v>243</v>
      </c>
      <c r="K389" s="7" t="s">
        <v>285</v>
      </c>
      <c r="L389" s="5" t="str">
        <f>LEFT(K389,FIND( ",",K389)-1)</f>
        <v>Jumat</v>
      </c>
      <c r="M389" s="5" t="str">
        <f>MID(K389,FIND(",",K389)+2,LEN(K389))</f>
        <v>08:00 - 08:50</v>
      </c>
      <c r="N389" s="7" t="s">
        <v>578</v>
      </c>
    </row>
    <row r="390" spans="2:14" ht="30" hidden="1" customHeight="1" x14ac:dyDescent="0.3">
      <c r="B390" s="5">
        <v>37</v>
      </c>
      <c r="C390" s="5" t="s">
        <v>593</v>
      </c>
      <c r="D390" s="5">
        <v>40</v>
      </c>
      <c r="E390" s="5">
        <v>32</v>
      </c>
      <c r="F390" s="7" t="s">
        <v>297</v>
      </c>
      <c r="G390" s="7" t="s">
        <v>576</v>
      </c>
      <c r="H390" s="5" t="s">
        <v>298</v>
      </c>
      <c r="I390" s="10" t="s">
        <v>599</v>
      </c>
      <c r="J390" s="7" t="s">
        <v>301</v>
      </c>
      <c r="K390" s="7" t="s">
        <v>370</v>
      </c>
      <c r="L390" s="5" t="str">
        <f>LEFT(K390,FIND( ",",K390)-1)</f>
        <v>Jumat</v>
      </c>
      <c r="M390" s="5" t="str">
        <f>MID(K390,FIND(",",K390)+2,LEN(K390))</f>
        <v>15:00 - 16:40</v>
      </c>
      <c r="N390" s="7" t="s">
        <v>578</v>
      </c>
    </row>
    <row r="391" spans="2:14" ht="30" hidden="1" customHeight="1" x14ac:dyDescent="0.3">
      <c r="B391" s="5">
        <v>43</v>
      </c>
      <c r="C391" s="5" t="s">
        <v>615</v>
      </c>
      <c r="D391" s="5">
        <v>70</v>
      </c>
      <c r="E391" s="5">
        <v>44</v>
      </c>
      <c r="F391" s="7" t="s">
        <v>297</v>
      </c>
      <c r="G391" s="7" t="s">
        <v>220</v>
      </c>
      <c r="H391" s="5" t="s">
        <v>298</v>
      </c>
      <c r="I391" s="10" t="s">
        <v>424</v>
      </c>
      <c r="J391" s="7" t="s">
        <v>362</v>
      </c>
      <c r="K391" s="7" t="s">
        <v>202</v>
      </c>
      <c r="L391" s="5" t="str">
        <f>LEFT(K391,FIND( ",",K391)-1)</f>
        <v>Kamis</v>
      </c>
      <c r="M391" s="5" t="str">
        <f>MID(K391,FIND(",",K391)+2,LEN(K391))</f>
        <v>15:00 - 16:40</v>
      </c>
      <c r="N391" s="7" t="s">
        <v>224</v>
      </c>
    </row>
    <row r="392" spans="2:14" ht="30" hidden="1" customHeight="1" x14ac:dyDescent="0.3">
      <c r="B392" s="5">
        <v>23</v>
      </c>
      <c r="C392" s="5" t="s">
        <v>420</v>
      </c>
      <c r="D392" s="5">
        <v>80</v>
      </c>
      <c r="E392" s="5">
        <v>18</v>
      </c>
      <c r="F392" s="7" t="s">
        <v>323</v>
      </c>
      <c r="G392" s="7" t="s">
        <v>220</v>
      </c>
      <c r="H392" s="5" t="s">
        <v>324</v>
      </c>
      <c r="I392" s="10" t="s">
        <v>425</v>
      </c>
      <c r="J392" s="7" t="s">
        <v>387</v>
      </c>
      <c r="K392" s="7" t="s">
        <v>435</v>
      </c>
      <c r="L392" s="5" t="str">
        <f>LEFT(K392,FIND( ",",K392)-1)</f>
        <v>Kamis</v>
      </c>
      <c r="M392" s="5" t="str">
        <f>MID(K392,FIND(",",K392)+2,LEN(K392))</f>
        <v>16:00 - 16:50</v>
      </c>
      <c r="N392" s="7" t="s">
        <v>224</v>
      </c>
    </row>
    <row r="393" spans="2:14" ht="30" hidden="1" customHeight="1" x14ac:dyDescent="0.3">
      <c r="B393" s="2">
        <v>34</v>
      </c>
      <c r="C393" s="2" t="s">
        <v>568</v>
      </c>
      <c r="D393" s="2">
        <v>52</v>
      </c>
      <c r="E393" s="2">
        <v>3</v>
      </c>
      <c r="F393" s="1" t="s">
        <v>562</v>
      </c>
      <c r="G393" s="1" t="s">
        <v>220</v>
      </c>
      <c r="H393" s="2" t="s">
        <v>563</v>
      </c>
      <c r="I393" s="11" t="s">
        <v>564</v>
      </c>
      <c r="J393" s="1" t="s">
        <v>247</v>
      </c>
      <c r="K393" s="1" t="s">
        <v>435</v>
      </c>
      <c r="L393" s="2" t="str">
        <f>LEFT(K393,FIND( ",",K393)-1)</f>
        <v>Kamis</v>
      </c>
      <c r="M393" s="2" t="str">
        <f>MID(K393,FIND(",",K393)+2,LEN(K393))</f>
        <v>16:00 - 16:50</v>
      </c>
      <c r="N393" s="1" t="s">
        <v>224</v>
      </c>
    </row>
    <row r="394" spans="2:14" ht="30" hidden="1" customHeight="1" x14ac:dyDescent="0.3">
      <c r="B394" s="2">
        <v>14</v>
      </c>
      <c r="C394" s="2" t="s">
        <v>236</v>
      </c>
      <c r="D394" s="2">
        <v>70</v>
      </c>
      <c r="E394" s="2">
        <v>22</v>
      </c>
      <c r="F394" s="1" t="s">
        <v>264</v>
      </c>
      <c r="G394" s="1" t="s">
        <v>220</v>
      </c>
      <c r="H394" s="2" t="s">
        <v>265</v>
      </c>
      <c r="I394" s="11" t="s">
        <v>266</v>
      </c>
      <c r="J394" s="1" t="s">
        <v>267</v>
      </c>
      <c r="K394" s="1" t="s">
        <v>32</v>
      </c>
      <c r="L394" s="2" t="str">
        <f>LEFT(K394,FIND( ",",K394)-1)</f>
        <v>Kamis</v>
      </c>
      <c r="M394" s="2" t="str">
        <f>MID(K394,FIND(",",K394)+2,LEN(K394))</f>
        <v>16:00 - 17:40</v>
      </c>
      <c r="N394" s="1" t="s">
        <v>224</v>
      </c>
    </row>
    <row r="395" spans="2:14" ht="30" customHeight="1" x14ac:dyDescent="0.3">
      <c r="B395" s="5">
        <v>37</v>
      </c>
      <c r="C395" s="5" t="s">
        <v>593</v>
      </c>
      <c r="D395" s="5">
        <v>40</v>
      </c>
      <c r="E395" s="5">
        <v>32</v>
      </c>
      <c r="F395" s="7" t="s">
        <v>251</v>
      </c>
      <c r="G395" s="7" t="s">
        <v>576</v>
      </c>
      <c r="H395" s="5" t="s">
        <v>252</v>
      </c>
      <c r="I395" s="10" t="s">
        <v>594</v>
      </c>
      <c r="J395" s="7" t="s">
        <v>255</v>
      </c>
      <c r="K395" s="7" t="s">
        <v>195</v>
      </c>
      <c r="L395" s="5" t="str">
        <f>LEFT(K395,FIND( ",",K395)-1)</f>
        <v>Rabu</v>
      </c>
      <c r="M395" s="5" t="str">
        <f>MID(K395,FIND(",",K395)+2,LEN(K395))</f>
        <v>09:00 - 09:50</v>
      </c>
      <c r="N395" s="7" t="s">
        <v>578</v>
      </c>
    </row>
    <row r="396" spans="2:14" ht="30" customHeight="1" x14ac:dyDescent="0.3">
      <c r="B396" s="5">
        <v>37</v>
      </c>
      <c r="C396" s="5" t="s">
        <v>593</v>
      </c>
      <c r="D396" s="5">
        <v>40</v>
      </c>
      <c r="E396" s="5">
        <v>32</v>
      </c>
      <c r="F396" s="7" t="s">
        <v>297</v>
      </c>
      <c r="G396" s="7" t="s">
        <v>576</v>
      </c>
      <c r="H396" s="5" t="s">
        <v>298</v>
      </c>
      <c r="I396" s="10" t="s">
        <v>599</v>
      </c>
      <c r="J396" s="7" t="s">
        <v>301</v>
      </c>
      <c r="K396" s="7" t="s">
        <v>31</v>
      </c>
      <c r="L396" s="5" t="str">
        <f>LEFT(K396,FIND( ",",K396)-1)</f>
        <v>Rabu</v>
      </c>
      <c r="M396" s="5" t="str">
        <f>MID(K396,FIND(",",K396)+2,LEN(K396))</f>
        <v>10:00 - 11:40</v>
      </c>
      <c r="N396" s="7" t="s">
        <v>578</v>
      </c>
    </row>
    <row r="397" spans="2:14" ht="30" hidden="1" customHeight="1" x14ac:dyDescent="0.3">
      <c r="B397" s="5">
        <v>37</v>
      </c>
      <c r="C397" s="5" t="s">
        <v>593</v>
      </c>
      <c r="D397" s="5">
        <v>40</v>
      </c>
      <c r="E397" s="5">
        <v>32</v>
      </c>
      <c r="F397" s="7" t="s">
        <v>415</v>
      </c>
      <c r="G397" s="7" t="s">
        <v>576</v>
      </c>
      <c r="H397" s="5" t="s">
        <v>416</v>
      </c>
      <c r="I397" s="10" t="s">
        <v>597</v>
      </c>
      <c r="J397" s="7" t="s">
        <v>243</v>
      </c>
      <c r="K397" s="7" t="s">
        <v>37</v>
      </c>
      <c r="L397" s="5" t="str">
        <f>LEFT(K397,FIND( ",",K397)-1)</f>
        <v>Selasa</v>
      </c>
      <c r="M397" s="5" t="str">
        <f>MID(K397,FIND(",",K397)+2,LEN(K397))</f>
        <v>10:00 - 11:40</v>
      </c>
      <c r="N397" s="7" t="s">
        <v>578</v>
      </c>
    </row>
    <row r="398" spans="2:14" ht="30" hidden="1" customHeight="1" x14ac:dyDescent="0.3">
      <c r="B398" s="5">
        <v>37</v>
      </c>
      <c r="C398" s="5" t="s">
        <v>593</v>
      </c>
      <c r="D398" s="5">
        <v>40</v>
      </c>
      <c r="E398" s="5">
        <v>32</v>
      </c>
      <c r="F398" s="7" t="s">
        <v>409</v>
      </c>
      <c r="G398" s="7" t="s">
        <v>576</v>
      </c>
      <c r="H398" s="5" t="s">
        <v>410</v>
      </c>
      <c r="I398" s="10" t="s">
        <v>598</v>
      </c>
      <c r="J398" s="7" t="s">
        <v>509</v>
      </c>
      <c r="K398" s="7" t="s">
        <v>42</v>
      </c>
      <c r="L398" s="5" t="str">
        <f>LEFT(K398,FIND( ",",K398)-1)</f>
        <v>Selasa</v>
      </c>
      <c r="M398" s="5" t="str">
        <f>MID(K398,FIND(",",K398)+2,LEN(K398))</f>
        <v>13:00 - 14:40</v>
      </c>
      <c r="N398" s="7" t="s">
        <v>578</v>
      </c>
    </row>
    <row r="399" spans="2:14" ht="30" hidden="1" customHeight="1" x14ac:dyDescent="0.3">
      <c r="B399" s="5">
        <v>37</v>
      </c>
      <c r="C399" s="5" t="s">
        <v>593</v>
      </c>
      <c r="D399" s="5">
        <v>40</v>
      </c>
      <c r="E399" s="5">
        <v>32</v>
      </c>
      <c r="F399" s="7" t="s">
        <v>251</v>
      </c>
      <c r="G399" s="7" t="s">
        <v>576</v>
      </c>
      <c r="H399" s="5" t="s">
        <v>252</v>
      </c>
      <c r="I399" s="10" t="s">
        <v>594</v>
      </c>
      <c r="J399" s="7" t="s">
        <v>255</v>
      </c>
      <c r="K399" s="7" t="s">
        <v>257</v>
      </c>
      <c r="L399" s="5" t="str">
        <f>LEFT(K399,FIND( ",",K399)-1)</f>
        <v>Selasa</v>
      </c>
      <c r="M399" s="5" t="str">
        <f>MID(K399,FIND(",",K399)+2,LEN(K399))</f>
        <v>16:00 - 16:50</v>
      </c>
      <c r="N399" s="7" t="s">
        <v>578</v>
      </c>
    </row>
    <row r="400" spans="2:14" ht="30" hidden="1" customHeight="1" x14ac:dyDescent="0.3">
      <c r="B400" s="5">
        <v>37</v>
      </c>
      <c r="C400" s="5" t="s">
        <v>593</v>
      </c>
      <c r="D400" s="5">
        <v>40</v>
      </c>
      <c r="E400" s="5">
        <v>32</v>
      </c>
      <c r="F400" s="7" t="s">
        <v>251</v>
      </c>
      <c r="G400" s="7" t="s">
        <v>576</v>
      </c>
      <c r="H400" s="5" t="s">
        <v>252</v>
      </c>
      <c r="I400" s="10" t="s">
        <v>594</v>
      </c>
      <c r="J400" s="7" t="s">
        <v>255</v>
      </c>
      <c r="K400" s="7" t="s">
        <v>5</v>
      </c>
      <c r="L400" s="5" t="str">
        <f>LEFT(K400,FIND( ",",K400)-1)</f>
        <v>Senin</v>
      </c>
      <c r="M400" s="5" t="str">
        <f>MID(K400,FIND(",",K400)+2,LEN(K400))</f>
        <v>08:00 - 09:40</v>
      </c>
      <c r="N400" s="7" t="s">
        <v>578</v>
      </c>
    </row>
    <row r="401" spans="2:14" ht="30" hidden="1" customHeight="1" x14ac:dyDescent="0.3">
      <c r="B401" s="5">
        <v>37</v>
      </c>
      <c r="C401" s="5" t="s">
        <v>593</v>
      </c>
      <c r="D401" s="5">
        <v>40</v>
      </c>
      <c r="E401" s="5">
        <v>32</v>
      </c>
      <c r="F401" s="7" t="s">
        <v>534</v>
      </c>
      <c r="G401" s="7" t="s">
        <v>576</v>
      </c>
      <c r="H401" s="5" t="s">
        <v>535</v>
      </c>
      <c r="I401" s="10" t="s">
        <v>595</v>
      </c>
      <c r="J401" s="7" t="s">
        <v>418</v>
      </c>
      <c r="K401" s="7" t="s">
        <v>596</v>
      </c>
      <c r="L401" s="5" t="str">
        <f>LEFT(K401,FIND( ",",K401)-1)</f>
        <v>Senin</v>
      </c>
      <c r="M401" s="5" t="str">
        <f>MID(K401,FIND(",",K401)+2,LEN(K401))</f>
        <v>13:00 - 13:40</v>
      </c>
      <c r="N401" s="7" t="s">
        <v>578</v>
      </c>
    </row>
    <row r="402" spans="2:14" ht="30" hidden="1" customHeight="1" x14ac:dyDescent="0.3">
      <c r="B402" s="2">
        <v>38</v>
      </c>
      <c r="C402" s="2" t="s">
        <v>600</v>
      </c>
      <c r="D402" s="2">
        <v>40</v>
      </c>
      <c r="E402" s="2">
        <v>8</v>
      </c>
      <c r="F402" s="1" t="s">
        <v>179</v>
      </c>
      <c r="G402" s="1" t="s">
        <v>576</v>
      </c>
      <c r="H402" s="2" t="s">
        <v>180</v>
      </c>
      <c r="I402" s="11" t="s">
        <v>608</v>
      </c>
      <c r="J402" s="1" t="s">
        <v>186</v>
      </c>
      <c r="K402" s="1" t="s">
        <v>62</v>
      </c>
      <c r="L402" s="2" t="str">
        <f>LEFT(K402,FIND( ",",K402)-1)</f>
        <v>Jumat</v>
      </c>
      <c r="M402" s="2" t="str">
        <f>MID(K402,FIND(",",K402)+2,LEN(K402))</f>
        <v>10:00 - 11:40</v>
      </c>
      <c r="N402" s="1" t="s">
        <v>578</v>
      </c>
    </row>
    <row r="403" spans="2:14" ht="30" hidden="1" customHeight="1" x14ac:dyDescent="0.3">
      <c r="B403" s="5">
        <v>25</v>
      </c>
      <c r="C403" s="5" t="s">
        <v>449</v>
      </c>
      <c r="D403" s="5">
        <v>80</v>
      </c>
      <c r="E403" s="5">
        <v>22</v>
      </c>
      <c r="F403" s="7" t="s">
        <v>264</v>
      </c>
      <c r="G403" s="7" t="s">
        <v>220</v>
      </c>
      <c r="H403" s="5" t="s">
        <v>265</v>
      </c>
      <c r="I403" s="10" t="s">
        <v>452</v>
      </c>
      <c r="J403" s="7" t="s">
        <v>382</v>
      </c>
      <c r="K403" s="7" t="s">
        <v>32</v>
      </c>
      <c r="L403" s="5" t="str">
        <f>LEFT(K403,FIND( ",",K403)-1)</f>
        <v>Kamis</v>
      </c>
      <c r="M403" s="5" t="str">
        <f>MID(K403,FIND(",",K403)+2,LEN(K403))</f>
        <v>16:00 - 17:40</v>
      </c>
      <c r="N403" s="7" t="s">
        <v>224</v>
      </c>
    </row>
    <row r="404" spans="2:14" ht="30" hidden="1" customHeight="1" x14ac:dyDescent="0.3">
      <c r="B404" s="5">
        <v>25</v>
      </c>
      <c r="C404" s="5" t="s">
        <v>449</v>
      </c>
      <c r="D404" s="5">
        <v>80</v>
      </c>
      <c r="E404" s="5">
        <v>22</v>
      </c>
      <c r="F404" s="7" t="s">
        <v>264</v>
      </c>
      <c r="G404" s="7" t="s">
        <v>220</v>
      </c>
      <c r="H404" s="5" t="s">
        <v>265</v>
      </c>
      <c r="I404" s="10" t="s">
        <v>452</v>
      </c>
      <c r="J404" s="7" t="s">
        <v>377</v>
      </c>
      <c r="K404" s="7" t="s">
        <v>32</v>
      </c>
      <c r="L404" s="5" t="str">
        <f>LEFT(K404,FIND( ",",K404)-1)</f>
        <v>Kamis</v>
      </c>
      <c r="M404" s="5" t="str">
        <f>MID(K404,FIND(",",K404)+2,LEN(K404))</f>
        <v>16:00 - 17:40</v>
      </c>
      <c r="N404" s="7" t="s">
        <v>224</v>
      </c>
    </row>
    <row r="405" spans="2:14" ht="30" hidden="1" customHeight="1" x14ac:dyDescent="0.3">
      <c r="B405" s="2">
        <v>26</v>
      </c>
      <c r="C405" s="2" t="s">
        <v>460</v>
      </c>
      <c r="D405" s="2">
        <v>100</v>
      </c>
      <c r="E405" s="2">
        <v>14</v>
      </c>
      <c r="F405" s="1" t="s">
        <v>264</v>
      </c>
      <c r="G405" s="1" t="s">
        <v>220</v>
      </c>
      <c r="H405" s="2" t="s">
        <v>265</v>
      </c>
      <c r="I405" s="11" t="s">
        <v>461</v>
      </c>
      <c r="J405" s="1" t="s">
        <v>137</v>
      </c>
      <c r="K405" s="1" t="s">
        <v>32</v>
      </c>
      <c r="L405" s="2" t="str">
        <f>LEFT(K405,FIND( ",",K405)-1)</f>
        <v>Kamis</v>
      </c>
      <c r="M405" s="2" t="str">
        <f>MID(K405,FIND(",",K405)+2,LEN(K405))</f>
        <v>16:00 - 17:40</v>
      </c>
      <c r="N405" s="1" t="s">
        <v>224</v>
      </c>
    </row>
    <row r="406" spans="2:14" ht="30" customHeight="1" x14ac:dyDescent="0.3">
      <c r="B406" s="2">
        <v>38</v>
      </c>
      <c r="C406" s="2" t="s">
        <v>600</v>
      </c>
      <c r="D406" s="2">
        <v>40</v>
      </c>
      <c r="E406" s="2">
        <v>8</v>
      </c>
      <c r="F406" s="1" t="s">
        <v>601</v>
      </c>
      <c r="G406" s="1" t="s">
        <v>576</v>
      </c>
      <c r="H406" s="2" t="s">
        <v>602</v>
      </c>
      <c r="I406" s="11" t="s">
        <v>603</v>
      </c>
      <c r="J406" s="1" t="s">
        <v>544</v>
      </c>
      <c r="K406" s="1" t="s">
        <v>607</v>
      </c>
      <c r="L406" s="2" t="str">
        <f>LEFT(K406,FIND( ",",K406)-1)</f>
        <v>Rabu</v>
      </c>
      <c r="M406" s="2" t="str">
        <f>MID(K406,FIND(",",K406)+2,LEN(K406))</f>
        <v>09:00 - 10:40</v>
      </c>
      <c r="N406" s="1" t="s">
        <v>578</v>
      </c>
    </row>
    <row r="407" spans="2:14" ht="30" customHeight="1" x14ac:dyDescent="0.3">
      <c r="B407" s="2">
        <v>38</v>
      </c>
      <c r="C407" s="2" t="s">
        <v>600</v>
      </c>
      <c r="D407" s="2">
        <v>40</v>
      </c>
      <c r="E407" s="2">
        <v>8</v>
      </c>
      <c r="F407" s="1" t="s">
        <v>237</v>
      </c>
      <c r="G407" s="1" t="s">
        <v>576</v>
      </c>
      <c r="H407" s="2" t="s">
        <v>238</v>
      </c>
      <c r="I407" s="11" t="s">
        <v>606</v>
      </c>
      <c r="J407" s="1" t="s">
        <v>209</v>
      </c>
      <c r="K407" s="1" t="s">
        <v>261</v>
      </c>
      <c r="L407" s="2" t="str">
        <f>LEFT(K407,FIND( ",",K407)-1)</f>
        <v>Rabu</v>
      </c>
      <c r="M407" s="2" t="str">
        <f>MID(K407,FIND(",",K407)+2,LEN(K407))</f>
        <v>11:00 - 11:50</v>
      </c>
      <c r="N407" s="1" t="s">
        <v>578</v>
      </c>
    </row>
    <row r="408" spans="2:14" ht="30" customHeight="1" x14ac:dyDescent="0.3">
      <c r="B408" s="2">
        <v>38</v>
      </c>
      <c r="C408" s="2" t="s">
        <v>600</v>
      </c>
      <c r="D408" s="2">
        <v>40</v>
      </c>
      <c r="E408" s="2">
        <v>8</v>
      </c>
      <c r="F408" s="1" t="s">
        <v>316</v>
      </c>
      <c r="G408" s="1" t="s">
        <v>576</v>
      </c>
      <c r="H408" s="2" t="s">
        <v>317</v>
      </c>
      <c r="I408" s="11" t="s">
        <v>604</v>
      </c>
      <c r="J408" s="1" t="s">
        <v>154</v>
      </c>
      <c r="K408" s="1" t="s">
        <v>223</v>
      </c>
      <c r="L408" s="2" t="str">
        <f>LEFT(K408,FIND( ",",K408)-1)</f>
        <v>Rabu</v>
      </c>
      <c r="M408" s="2" t="str">
        <f>MID(K408,FIND(",",K408)+2,LEN(K408))</f>
        <v>15:00 - 16:40</v>
      </c>
      <c r="N408" s="1" t="s">
        <v>578</v>
      </c>
    </row>
    <row r="409" spans="2:14" ht="30" hidden="1" customHeight="1" x14ac:dyDescent="0.3">
      <c r="B409" s="2">
        <v>38</v>
      </c>
      <c r="C409" s="2" t="s">
        <v>600</v>
      </c>
      <c r="D409" s="2">
        <v>40</v>
      </c>
      <c r="E409" s="2">
        <v>9</v>
      </c>
      <c r="F409" s="1" t="s">
        <v>359</v>
      </c>
      <c r="G409" s="1" t="s">
        <v>576</v>
      </c>
      <c r="H409" s="2" t="s">
        <v>360</v>
      </c>
      <c r="I409" s="11" t="s">
        <v>605</v>
      </c>
      <c r="J409" s="1" t="s">
        <v>36</v>
      </c>
      <c r="K409" s="1" t="s">
        <v>29</v>
      </c>
      <c r="L409" s="2" t="str">
        <f>LEFT(K409,FIND( ",",K409)-1)</f>
        <v>Selasa</v>
      </c>
      <c r="M409" s="2" t="str">
        <f>MID(K409,FIND(",",K409)+2,LEN(K409))</f>
        <v>08:00 - 09:40</v>
      </c>
      <c r="N409" s="1" t="s">
        <v>578</v>
      </c>
    </row>
    <row r="410" spans="2:14" ht="30" hidden="1" customHeight="1" x14ac:dyDescent="0.3">
      <c r="B410" s="2">
        <v>38</v>
      </c>
      <c r="C410" s="2" t="s">
        <v>600</v>
      </c>
      <c r="D410" s="2">
        <v>40</v>
      </c>
      <c r="E410" s="2">
        <v>8</v>
      </c>
      <c r="F410" s="1" t="s">
        <v>237</v>
      </c>
      <c r="G410" s="1" t="s">
        <v>576</v>
      </c>
      <c r="H410" s="2" t="s">
        <v>238</v>
      </c>
      <c r="I410" s="11" t="s">
        <v>606</v>
      </c>
      <c r="J410" s="1" t="s">
        <v>209</v>
      </c>
      <c r="K410" s="1" t="s">
        <v>37</v>
      </c>
      <c r="L410" s="2" t="str">
        <f>LEFT(K410,FIND( ",",K410)-1)</f>
        <v>Selasa</v>
      </c>
      <c r="M410" s="2" t="str">
        <f>MID(K410,FIND(",",K410)+2,LEN(K410))</f>
        <v>10:00 - 11:40</v>
      </c>
      <c r="N410" s="1" t="s">
        <v>578</v>
      </c>
    </row>
    <row r="411" spans="2:14" ht="30" hidden="1" customHeight="1" x14ac:dyDescent="0.3">
      <c r="B411" s="2">
        <v>38</v>
      </c>
      <c r="C411" s="2" t="s">
        <v>600</v>
      </c>
      <c r="D411" s="2">
        <v>40</v>
      </c>
      <c r="E411" s="2">
        <v>8</v>
      </c>
      <c r="F411" s="1" t="s">
        <v>601</v>
      </c>
      <c r="G411" s="1" t="s">
        <v>576</v>
      </c>
      <c r="H411" s="2" t="s">
        <v>602</v>
      </c>
      <c r="I411" s="11" t="s">
        <v>603</v>
      </c>
      <c r="J411" s="1" t="s">
        <v>544</v>
      </c>
      <c r="K411" s="1" t="s">
        <v>12</v>
      </c>
      <c r="L411" s="2" t="str">
        <f>LEFT(K411,FIND( ",",K411)-1)</f>
        <v>Senin</v>
      </c>
      <c r="M411" s="2" t="str">
        <f>MID(K411,FIND(",",K411)+2,LEN(K411))</f>
        <v>10:00 - 11:40</v>
      </c>
      <c r="N411" s="1" t="s">
        <v>578</v>
      </c>
    </row>
    <row r="412" spans="2:14" ht="30" hidden="1" customHeight="1" x14ac:dyDescent="0.3">
      <c r="B412" s="2">
        <v>38</v>
      </c>
      <c r="C412" s="2" t="s">
        <v>600</v>
      </c>
      <c r="D412" s="2">
        <v>40</v>
      </c>
      <c r="E412" s="2">
        <v>8</v>
      </c>
      <c r="F412" s="1" t="s">
        <v>316</v>
      </c>
      <c r="G412" s="1" t="s">
        <v>576</v>
      </c>
      <c r="H412" s="2" t="s">
        <v>317</v>
      </c>
      <c r="I412" s="11" t="s">
        <v>604</v>
      </c>
      <c r="J412" s="1" t="s">
        <v>154</v>
      </c>
      <c r="K412" s="1" t="s">
        <v>19</v>
      </c>
      <c r="L412" s="2" t="str">
        <f>LEFT(K412,FIND( ",",K412)-1)</f>
        <v>Senin</v>
      </c>
      <c r="M412" s="2" t="str">
        <f>MID(K412,FIND(",",K412)+2,LEN(K412))</f>
        <v>13:00 - 14:40</v>
      </c>
      <c r="N412" s="1" t="s">
        <v>578</v>
      </c>
    </row>
    <row r="413" spans="2:14" ht="30" hidden="1" customHeight="1" x14ac:dyDescent="0.3">
      <c r="B413" s="2">
        <v>42</v>
      </c>
      <c r="C413" s="2" t="s">
        <v>612</v>
      </c>
      <c r="D413" s="2">
        <v>80</v>
      </c>
      <c r="E413" s="2">
        <v>64</v>
      </c>
      <c r="F413" s="1" t="s">
        <v>409</v>
      </c>
      <c r="G413" s="1" t="s">
        <v>173</v>
      </c>
      <c r="H413" s="2" t="s">
        <v>410</v>
      </c>
      <c r="I413" s="11" t="s">
        <v>508</v>
      </c>
      <c r="J413" s="1" t="s">
        <v>509</v>
      </c>
      <c r="K413" s="1" t="s">
        <v>614</v>
      </c>
      <c r="L413" s="2" t="str">
        <f>LEFT(K413,FIND( ",",K413)-1)</f>
        <v>Jumat</v>
      </c>
      <c r="M413" s="2" t="str">
        <f>MID(K413,FIND(",",K413)+2,LEN(K413))</f>
        <v>10:00 - 11:00</v>
      </c>
      <c r="N413" s="1" t="s">
        <v>177</v>
      </c>
    </row>
    <row r="414" spans="2:14" ht="30" hidden="1" customHeight="1" x14ac:dyDescent="0.3">
      <c r="B414" s="2">
        <v>42</v>
      </c>
      <c r="C414" s="2" t="s">
        <v>612</v>
      </c>
      <c r="D414" s="2">
        <v>80</v>
      </c>
      <c r="E414" s="2">
        <v>64</v>
      </c>
      <c r="F414" s="1" t="s">
        <v>409</v>
      </c>
      <c r="G414" s="1" t="s">
        <v>173</v>
      </c>
      <c r="H414" s="2" t="s">
        <v>410</v>
      </c>
      <c r="I414" s="11" t="s">
        <v>508</v>
      </c>
      <c r="J414" s="1" t="s">
        <v>319</v>
      </c>
      <c r="K414" s="1" t="s">
        <v>614</v>
      </c>
      <c r="L414" s="2" t="str">
        <f>LEFT(K414,FIND( ",",K414)-1)</f>
        <v>Jumat</v>
      </c>
      <c r="M414" s="2" t="str">
        <f>MID(K414,FIND(",",K414)+2,LEN(K414))</f>
        <v>10:00 - 11:00</v>
      </c>
      <c r="N414" s="1" t="s">
        <v>177</v>
      </c>
    </row>
    <row r="415" spans="2:14" ht="30" hidden="1" customHeight="1" x14ac:dyDescent="0.3">
      <c r="B415" s="2">
        <v>42</v>
      </c>
      <c r="C415" s="2" t="s">
        <v>612</v>
      </c>
      <c r="D415" s="2">
        <v>80</v>
      </c>
      <c r="E415" s="2">
        <v>46</v>
      </c>
      <c r="F415" s="1" t="s">
        <v>214</v>
      </c>
      <c r="G415" s="1" t="s">
        <v>173</v>
      </c>
      <c r="H415" s="2" t="s">
        <v>215</v>
      </c>
      <c r="I415" s="11" t="s">
        <v>565</v>
      </c>
      <c r="J415" s="1" t="s">
        <v>441</v>
      </c>
      <c r="K415" s="1" t="s">
        <v>46</v>
      </c>
      <c r="L415" s="2" t="str">
        <f>LEFT(K415,FIND( ",",K415)-1)</f>
        <v>Jumat</v>
      </c>
      <c r="M415" s="2" t="str">
        <f>MID(K415,FIND(",",K415)+2,LEN(K415))</f>
        <v>14:00 - 15:40</v>
      </c>
      <c r="N415" s="1" t="s">
        <v>177</v>
      </c>
    </row>
    <row r="416" spans="2:14" ht="30" hidden="1" customHeight="1" x14ac:dyDescent="0.3">
      <c r="B416" s="2">
        <v>42</v>
      </c>
      <c r="C416" s="2" t="s">
        <v>612</v>
      </c>
      <c r="D416" s="2">
        <v>80</v>
      </c>
      <c r="E416" s="2">
        <v>10</v>
      </c>
      <c r="F416" s="1" t="s">
        <v>293</v>
      </c>
      <c r="G416" s="1" t="s">
        <v>173</v>
      </c>
      <c r="H416" s="2" t="s">
        <v>294</v>
      </c>
      <c r="I416" s="11" t="s">
        <v>295</v>
      </c>
      <c r="J416" s="1" t="s">
        <v>296</v>
      </c>
      <c r="K416" s="1" t="s">
        <v>63</v>
      </c>
      <c r="L416" s="2" t="str">
        <f>LEFT(K416,FIND( ",",K416)-1)</f>
        <v>Jumat</v>
      </c>
      <c r="M416" s="2" t="str">
        <f>MID(K416,FIND(",",K416)+2,LEN(K416))</f>
        <v>16:00 - 17:40</v>
      </c>
      <c r="N416" s="1" t="s">
        <v>177</v>
      </c>
    </row>
    <row r="417" spans="2:14" ht="30" hidden="1" customHeight="1" x14ac:dyDescent="0.3">
      <c r="B417" s="2">
        <v>26</v>
      </c>
      <c r="C417" s="2" t="s">
        <v>460</v>
      </c>
      <c r="D417" s="2">
        <v>100</v>
      </c>
      <c r="E417" s="2">
        <v>14</v>
      </c>
      <c r="F417" s="1" t="s">
        <v>264</v>
      </c>
      <c r="G417" s="1" t="s">
        <v>220</v>
      </c>
      <c r="H417" s="2" t="s">
        <v>265</v>
      </c>
      <c r="I417" s="11" t="s">
        <v>461</v>
      </c>
      <c r="J417" s="1" t="s">
        <v>462</v>
      </c>
      <c r="K417" s="1" t="s">
        <v>32</v>
      </c>
      <c r="L417" s="2" t="str">
        <f>LEFT(K417,FIND( ",",K417)-1)</f>
        <v>Kamis</v>
      </c>
      <c r="M417" s="2" t="str">
        <f>MID(K417,FIND(",",K417)+2,LEN(K417))</f>
        <v>16:00 - 17:40</v>
      </c>
      <c r="N417" s="1" t="s">
        <v>224</v>
      </c>
    </row>
    <row r="418" spans="2:14" ht="30" hidden="1" customHeight="1" x14ac:dyDescent="0.3">
      <c r="B418" s="2">
        <v>28</v>
      </c>
      <c r="C418" s="2" t="s">
        <v>484</v>
      </c>
      <c r="D418" s="2">
        <v>80</v>
      </c>
      <c r="E418" s="2">
        <v>33</v>
      </c>
      <c r="F418" s="1" t="s">
        <v>237</v>
      </c>
      <c r="G418" s="1" t="s">
        <v>173</v>
      </c>
      <c r="H418" s="2" t="s">
        <v>238</v>
      </c>
      <c r="I418" s="11" t="s">
        <v>504</v>
      </c>
      <c r="J418" s="1" t="s">
        <v>254</v>
      </c>
      <c r="K418" s="1" t="s">
        <v>32</v>
      </c>
      <c r="L418" s="2" t="str">
        <f>LEFT(K418,FIND( ",",K418)-1)</f>
        <v>Kamis</v>
      </c>
      <c r="M418" s="2" t="str">
        <f>MID(K418,FIND(",",K418)+2,LEN(K418))</f>
        <v>16:00 - 17:40</v>
      </c>
      <c r="N418" s="1" t="s">
        <v>177</v>
      </c>
    </row>
    <row r="419" spans="2:14" ht="30" hidden="1" customHeight="1" x14ac:dyDescent="0.3">
      <c r="B419" s="2">
        <v>28</v>
      </c>
      <c r="C419" s="2" t="s">
        <v>484</v>
      </c>
      <c r="D419" s="2">
        <v>80</v>
      </c>
      <c r="E419" s="2">
        <v>33</v>
      </c>
      <c r="F419" s="1" t="s">
        <v>237</v>
      </c>
      <c r="G419" s="1" t="s">
        <v>173</v>
      </c>
      <c r="H419" s="2" t="s">
        <v>238</v>
      </c>
      <c r="I419" s="11" t="s">
        <v>504</v>
      </c>
      <c r="J419" s="1" t="s">
        <v>474</v>
      </c>
      <c r="K419" s="1" t="s">
        <v>32</v>
      </c>
      <c r="L419" s="2" t="str">
        <f>LEFT(K419,FIND( ",",K419)-1)</f>
        <v>Kamis</v>
      </c>
      <c r="M419" s="2" t="str">
        <f>MID(K419,FIND(",",K419)+2,LEN(K419))</f>
        <v>16:00 - 17:40</v>
      </c>
      <c r="N419" s="1" t="s">
        <v>177</v>
      </c>
    </row>
    <row r="420" spans="2:14" ht="30" customHeight="1" x14ac:dyDescent="0.3">
      <c r="B420" s="2">
        <v>42</v>
      </c>
      <c r="C420" s="2" t="s">
        <v>612</v>
      </c>
      <c r="D420" s="2">
        <v>80</v>
      </c>
      <c r="E420" s="2">
        <v>13</v>
      </c>
      <c r="F420" s="1" t="s">
        <v>273</v>
      </c>
      <c r="G420" s="1" t="s">
        <v>220</v>
      </c>
      <c r="H420" s="2" t="s">
        <v>274</v>
      </c>
      <c r="I420" s="11" t="s">
        <v>275</v>
      </c>
      <c r="J420" s="1" t="s">
        <v>272</v>
      </c>
      <c r="K420" s="1" t="s">
        <v>31</v>
      </c>
      <c r="L420" s="2" t="str">
        <f>LEFT(K420,FIND( ",",K420)-1)</f>
        <v>Rabu</v>
      </c>
      <c r="M420" s="2" t="str">
        <f>MID(K420,FIND(",",K420)+2,LEN(K420))</f>
        <v>10:00 - 11:40</v>
      </c>
      <c r="N420" s="1" t="s">
        <v>224</v>
      </c>
    </row>
    <row r="421" spans="2:14" ht="30" customHeight="1" x14ac:dyDescent="0.3">
      <c r="B421" s="2">
        <v>42</v>
      </c>
      <c r="C421" s="2" t="s">
        <v>612</v>
      </c>
      <c r="D421" s="2">
        <v>80</v>
      </c>
      <c r="E421" s="2">
        <v>56</v>
      </c>
      <c r="F421" s="1" t="s">
        <v>316</v>
      </c>
      <c r="G421" s="1" t="s">
        <v>173</v>
      </c>
      <c r="H421" s="2" t="s">
        <v>317</v>
      </c>
      <c r="I421" s="11" t="s">
        <v>489</v>
      </c>
      <c r="J421" s="1" t="s">
        <v>490</v>
      </c>
      <c r="K421" s="1" t="s">
        <v>196</v>
      </c>
      <c r="L421" s="2" t="str">
        <f>LEFT(K421,FIND( ",",K421)-1)</f>
        <v>Rabu</v>
      </c>
      <c r="M421" s="2" t="str">
        <f>MID(K421,FIND(",",K421)+2,LEN(K421))</f>
        <v>14:00 - 15:40</v>
      </c>
      <c r="N421" s="1" t="s">
        <v>177</v>
      </c>
    </row>
    <row r="422" spans="2:14" ht="30" customHeight="1" x14ac:dyDescent="0.3">
      <c r="B422" s="2">
        <v>42</v>
      </c>
      <c r="C422" s="2" t="s">
        <v>612</v>
      </c>
      <c r="D422" s="2">
        <v>80</v>
      </c>
      <c r="E422" s="2">
        <v>56</v>
      </c>
      <c r="F422" s="1" t="s">
        <v>316</v>
      </c>
      <c r="G422" s="1" t="s">
        <v>173</v>
      </c>
      <c r="H422" s="2" t="s">
        <v>317</v>
      </c>
      <c r="I422" s="11" t="s">
        <v>489</v>
      </c>
      <c r="J422" s="1" t="s">
        <v>488</v>
      </c>
      <c r="K422" s="1" t="s">
        <v>196</v>
      </c>
      <c r="L422" s="2" t="str">
        <f>LEFT(K422,FIND( ",",K422)-1)</f>
        <v>Rabu</v>
      </c>
      <c r="M422" s="2" t="str">
        <f>MID(K422,FIND(",",K422)+2,LEN(K422))</f>
        <v>14:00 - 15:40</v>
      </c>
      <c r="N422" s="1" t="s">
        <v>177</v>
      </c>
    </row>
    <row r="423" spans="2:14" ht="30" customHeight="1" x14ac:dyDescent="0.3">
      <c r="B423" s="2">
        <v>42</v>
      </c>
      <c r="C423" s="2" t="s">
        <v>612</v>
      </c>
      <c r="D423" s="2">
        <v>80</v>
      </c>
      <c r="E423" s="2">
        <v>48</v>
      </c>
      <c r="F423" s="1" t="s">
        <v>316</v>
      </c>
      <c r="G423" s="1" t="s">
        <v>173</v>
      </c>
      <c r="H423" s="2" t="s">
        <v>317</v>
      </c>
      <c r="I423" s="11" t="s">
        <v>552</v>
      </c>
      <c r="J423" s="1" t="s">
        <v>472</v>
      </c>
      <c r="K423" s="1" t="s">
        <v>320</v>
      </c>
      <c r="L423" s="2" t="str">
        <f>LEFT(K423,FIND( ",",K423)-1)</f>
        <v>Rabu</v>
      </c>
      <c r="M423" s="2" t="str">
        <f>MID(K423,FIND(",",K423)+2,LEN(K423))</f>
        <v>16:00 - 17:40</v>
      </c>
      <c r="N423" s="1" t="s">
        <v>177</v>
      </c>
    </row>
    <row r="424" spans="2:14" ht="30" hidden="1" customHeight="1" x14ac:dyDescent="0.3">
      <c r="B424" s="2">
        <v>42</v>
      </c>
      <c r="C424" s="2" t="s">
        <v>612</v>
      </c>
      <c r="D424" s="2">
        <v>80</v>
      </c>
      <c r="E424" s="2">
        <v>25</v>
      </c>
      <c r="F424" s="1" t="s">
        <v>359</v>
      </c>
      <c r="G424" s="1" t="s">
        <v>173</v>
      </c>
      <c r="H424" s="2" t="s">
        <v>360</v>
      </c>
      <c r="I424" s="11" t="s">
        <v>546</v>
      </c>
      <c r="J424" s="1" t="s">
        <v>465</v>
      </c>
      <c r="K424" s="1" t="s">
        <v>613</v>
      </c>
      <c r="L424" s="2" t="str">
        <f>LEFT(K424,FIND( ",",K424)-1)</f>
        <v>Selasa</v>
      </c>
      <c r="M424" s="2" t="str">
        <f>MID(K424,FIND(",",K424)+2,LEN(K424))</f>
        <v>13:00 - 13:50</v>
      </c>
      <c r="N424" s="1" t="s">
        <v>177</v>
      </c>
    </row>
    <row r="425" spans="2:14" ht="30" hidden="1" customHeight="1" x14ac:dyDescent="0.3">
      <c r="B425" s="2">
        <v>42</v>
      </c>
      <c r="C425" s="2" t="s">
        <v>612</v>
      </c>
      <c r="D425" s="2">
        <v>80</v>
      </c>
      <c r="E425" s="2">
        <v>14</v>
      </c>
      <c r="F425" s="1" t="s">
        <v>337</v>
      </c>
      <c r="G425" s="1" t="s">
        <v>173</v>
      </c>
      <c r="H425" s="2" t="s">
        <v>338</v>
      </c>
      <c r="I425" s="11" t="s">
        <v>352</v>
      </c>
      <c r="J425" s="1" t="s">
        <v>340</v>
      </c>
      <c r="K425" s="1" t="s">
        <v>503</v>
      </c>
      <c r="L425" s="2" t="str">
        <f>LEFT(K425,FIND( ",",K425)-1)</f>
        <v>Selasa</v>
      </c>
      <c r="M425" s="2" t="str">
        <f>MID(K425,FIND(",",K425)+2,LEN(K425))</f>
        <v>16:00 - 17:40</v>
      </c>
      <c r="N425" s="1" t="s">
        <v>177</v>
      </c>
    </row>
    <row r="426" spans="2:14" ht="30" hidden="1" customHeight="1" x14ac:dyDescent="0.3">
      <c r="B426" s="2">
        <v>42</v>
      </c>
      <c r="C426" s="2" t="s">
        <v>612</v>
      </c>
      <c r="D426" s="2">
        <v>80</v>
      </c>
      <c r="E426" s="2">
        <v>15</v>
      </c>
      <c r="F426" s="1" t="s">
        <v>492</v>
      </c>
      <c r="G426" s="1" t="s">
        <v>220</v>
      </c>
      <c r="H426" s="2" t="s">
        <v>493</v>
      </c>
      <c r="I426" s="11" t="s">
        <v>494</v>
      </c>
      <c r="J426" s="1" t="s">
        <v>495</v>
      </c>
      <c r="K426" s="1" t="s">
        <v>5</v>
      </c>
      <c r="L426" s="2" t="str">
        <f>LEFT(K426,FIND( ",",K426)-1)</f>
        <v>Senin</v>
      </c>
      <c r="M426" s="2" t="str">
        <f>MID(K426,FIND(",",K426)+2,LEN(K426))</f>
        <v>08:00 - 09:40</v>
      </c>
      <c r="N426" s="1" t="s">
        <v>224</v>
      </c>
    </row>
    <row r="427" spans="2:14" ht="30" hidden="1" customHeight="1" x14ac:dyDescent="0.3">
      <c r="B427" s="5">
        <v>43</v>
      </c>
      <c r="C427" s="5" t="s">
        <v>615</v>
      </c>
      <c r="D427" s="5">
        <v>70</v>
      </c>
      <c r="E427" s="5">
        <v>60</v>
      </c>
      <c r="F427" s="7" t="s">
        <v>409</v>
      </c>
      <c r="G427" s="7" t="s">
        <v>173</v>
      </c>
      <c r="H427" s="5" t="s">
        <v>410</v>
      </c>
      <c r="I427" s="10" t="s">
        <v>411</v>
      </c>
      <c r="J427" s="7" t="s">
        <v>315</v>
      </c>
      <c r="K427" s="7" t="s">
        <v>614</v>
      </c>
      <c r="L427" s="5" t="str">
        <f>LEFT(K427,FIND( ",",K427)-1)</f>
        <v>Jumat</v>
      </c>
      <c r="M427" s="5" t="str">
        <f>MID(K427,FIND(",",K427)+2,LEN(K427))</f>
        <v>10:00 - 11:00</v>
      </c>
      <c r="N427" s="7" t="s">
        <v>177</v>
      </c>
    </row>
    <row r="428" spans="2:14" ht="30" hidden="1" customHeight="1" x14ac:dyDescent="0.3">
      <c r="B428" s="5">
        <v>43</v>
      </c>
      <c r="C428" s="5" t="s">
        <v>615</v>
      </c>
      <c r="D428" s="5">
        <v>70</v>
      </c>
      <c r="E428" s="5">
        <v>31</v>
      </c>
      <c r="F428" s="7" t="s">
        <v>214</v>
      </c>
      <c r="G428" s="7" t="s">
        <v>173</v>
      </c>
      <c r="H428" s="5" t="s">
        <v>215</v>
      </c>
      <c r="I428" s="10" t="s">
        <v>515</v>
      </c>
      <c r="J428" s="7" t="s">
        <v>516</v>
      </c>
      <c r="K428" s="7" t="s">
        <v>46</v>
      </c>
      <c r="L428" s="5" t="str">
        <f>LEFT(K428,FIND( ",",K428)-1)</f>
        <v>Jumat</v>
      </c>
      <c r="M428" s="5" t="str">
        <f>MID(K428,FIND(",",K428)+2,LEN(K428))</f>
        <v>14:00 - 15:40</v>
      </c>
      <c r="N428" s="7" t="s">
        <v>177</v>
      </c>
    </row>
    <row r="429" spans="2:14" ht="30" hidden="1" customHeight="1" x14ac:dyDescent="0.3">
      <c r="B429" s="5">
        <v>43</v>
      </c>
      <c r="C429" s="5" t="s">
        <v>615</v>
      </c>
      <c r="D429" s="5">
        <v>70</v>
      </c>
      <c r="E429" s="5">
        <v>11</v>
      </c>
      <c r="F429" s="7" t="s">
        <v>293</v>
      </c>
      <c r="G429" s="7" t="s">
        <v>173</v>
      </c>
      <c r="H429" s="5" t="s">
        <v>294</v>
      </c>
      <c r="I429" s="10" t="s">
        <v>485</v>
      </c>
      <c r="J429" s="7" t="s">
        <v>486</v>
      </c>
      <c r="K429" s="7" t="s">
        <v>63</v>
      </c>
      <c r="L429" s="5" t="str">
        <f>LEFT(K429,FIND( ",",K429)-1)</f>
        <v>Jumat</v>
      </c>
      <c r="M429" s="5" t="str">
        <f>MID(K429,FIND(",",K429)+2,LEN(K429))</f>
        <v>16:00 - 17:40</v>
      </c>
      <c r="N429" s="7" t="s">
        <v>177</v>
      </c>
    </row>
    <row r="430" spans="2:14" ht="30" hidden="1" customHeight="1" x14ac:dyDescent="0.3">
      <c r="B430" s="5">
        <v>29</v>
      </c>
      <c r="C430" s="5" t="s">
        <v>505</v>
      </c>
      <c r="D430" s="5">
        <v>80</v>
      </c>
      <c r="E430" s="5">
        <v>46</v>
      </c>
      <c r="F430" s="7" t="s">
        <v>237</v>
      </c>
      <c r="G430" s="7" t="s">
        <v>173</v>
      </c>
      <c r="H430" s="5" t="s">
        <v>238</v>
      </c>
      <c r="I430" s="10" t="s">
        <v>518</v>
      </c>
      <c r="J430" s="7" t="s">
        <v>474</v>
      </c>
      <c r="K430" s="7" t="s">
        <v>32</v>
      </c>
      <c r="L430" s="5" t="str">
        <f>LEFT(K430,FIND( ",",K430)-1)</f>
        <v>Kamis</v>
      </c>
      <c r="M430" s="5" t="str">
        <f>MID(K430,FIND(",",K430)+2,LEN(K430))</f>
        <v>16:00 - 17:40</v>
      </c>
      <c r="N430" s="7" t="s">
        <v>177</v>
      </c>
    </row>
    <row r="431" spans="2:14" ht="30" hidden="1" customHeight="1" x14ac:dyDescent="0.3">
      <c r="B431" s="2">
        <v>30</v>
      </c>
      <c r="C431" s="2" t="s">
        <v>519</v>
      </c>
      <c r="D431" s="2">
        <v>80</v>
      </c>
      <c r="E431" s="2">
        <v>66</v>
      </c>
      <c r="F431" s="1" t="s">
        <v>237</v>
      </c>
      <c r="G431" s="1" t="s">
        <v>173</v>
      </c>
      <c r="H431" s="2" t="s">
        <v>238</v>
      </c>
      <c r="I431" s="11" t="s">
        <v>239</v>
      </c>
      <c r="J431" s="1" t="s">
        <v>209</v>
      </c>
      <c r="K431" s="1" t="s">
        <v>32</v>
      </c>
      <c r="L431" s="2" t="str">
        <f>LEFT(K431,FIND( ",",K431)-1)</f>
        <v>Kamis</v>
      </c>
      <c r="M431" s="2" t="str">
        <f>MID(K431,FIND(",",K431)+2,LEN(K431))</f>
        <v>16:00 - 17:40</v>
      </c>
      <c r="N431" s="1" t="s">
        <v>177</v>
      </c>
    </row>
    <row r="432" spans="2:14" ht="30" hidden="1" customHeight="1" x14ac:dyDescent="0.3">
      <c r="B432" s="5">
        <v>31</v>
      </c>
      <c r="C432" s="5" t="s">
        <v>537</v>
      </c>
      <c r="D432" s="5">
        <v>80</v>
      </c>
      <c r="E432" s="5">
        <v>29</v>
      </c>
      <c r="F432" s="7" t="s">
        <v>264</v>
      </c>
      <c r="G432" s="7" t="s">
        <v>220</v>
      </c>
      <c r="H432" s="5" t="s">
        <v>265</v>
      </c>
      <c r="I432" s="10" t="s">
        <v>540</v>
      </c>
      <c r="J432" s="7" t="s">
        <v>541</v>
      </c>
      <c r="K432" s="7" t="s">
        <v>32</v>
      </c>
      <c r="L432" s="5" t="str">
        <f>LEFT(K432,FIND( ",",K432)-1)</f>
        <v>Kamis</v>
      </c>
      <c r="M432" s="5" t="str">
        <f>MID(K432,FIND(",",K432)+2,LEN(K432))</f>
        <v>16:00 - 17:40</v>
      </c>
      <c r="N432" s="7" t="s">
        <v>224</v>
      </c>
    </row>
    <row r="433" spans="2:14" ht="30" customHeight="1" x14ac:dyDescent="0.3">
      <c r="B433" s="5">
        <v>43</v>
      </c>
      <c r="C433" s="5" t="s">
        <v>615</v>
      </c>
      <c r="D433" s="5">
        <v>70</v>
      </c>
      <c r="E433" s="5">
        <v>21</v>
      </c>
      <c r="F433" s="7" t="s">
        <v>269</v>
      </c>
      <c r="G433" s="7" t="s">
        <v>173</v>
      </c>
      <c r="H433" s="5" t="s">
        <v>270</v>
      </c>
      <c r="I433" s="10" t="s">
        <v>271</v>
      </c>
      <c r="J433" s="7" t="s">
        <v>272</v>
      </c>
      <c r="K433" s="7" t="s">
        <v>23</v>
      </c>
      <c r="L433" s="5" t="str">
        <f>LEFT(K433,FIND( ",",K433)-1)</f>
        <v>Rabu</v>
      </c>
      <c r="M433" s="5" t="str">
        <f>MID(K433,FIND(",",K433)+2,LEN(K433))</f>
        <v>08:00 - 09:40</v>
      </c>
      <c r="N433" s="7" t="s">
        <v>177</v>
      </c>
    </row>
    <row r="434" spans="2:14" ht="30" customHeight="1" x14ac:dyDescent="0.3">
      <c r="B434" s="5">
        <v>43</v>
      </c>
      <c r="C434" s="5" t="s">
        <v>615</v>
      </c>
      <c r="D434" s="5">
        <v>70</v>
      </c>
      <c r="E434" s="5">
        <v>21</v>
      </c>
      <c r="F434" s="7" t="s">
        <v>269</v>
      </c>
      <c r="G434" s="7" t="s">
        <v>173</v>
      </c>
      <c r="H434" s="5" t="s">
        <v>270</v>
      </c>
      <c r="I434" s="10" t="s">
        <v>271</v>
      </c>
      <c r="J434" s="7" t="s">
        <v>170</v>
      </c>
      <c r="K434" s="7" t="s">
        <v>23</v>
      </c>
      <c r="L434" s="5" t="str">
        <f>LEFT(K434,FIND( ",",K434)-1)</f>
        <v>Rabu</v>
      </c>
      <c r="M434" s="5" t="str">
        <f>MID(K434,FIND(",",K434)+2,LEN(K434))</f>
        <v>08:00 - 09:40</v>
      </c>
      <c r="N434" s="7" t="s">
        <v>177</v>
      </c>
    </row>
    <row r="435" spans="2:14" ht="30" customHeight="1" x14ac:dyDescent="0.3">
      <c r="B435" s="5">
        <v>43</v>
      </c>
      <c r="C435" s="5" t="s">
        <v>615</v>
      </c>
      <c r="D435" s="5">
        <v>70</v>
      </c>
      <c r="E435" s="5">
        <v>21</v>
      </c>
      <c r="F435" s="7" t="s">
        <v>316</v>
      </c>
      <c r="G435" s="7" t="s">
        <v>173</v>
      </c>
      <c r="H435" s="5" t="s">
        <v>317</v>
      </c>
      <c r="I435" s="10" t="s">
        <v>491</v>
      </c>
      <c r="J435" s="7" t="s">
        <v>490</v>
      </c>
      <c r="K435" s="7" t="s">
        <v>320</v>
      </c>
      <c r="L435" s="5" t="str">
        <f>LEFT(K435,FIND( ",",K435)-1)</f>
        <v>Rabu</v>
      </c>
      <c r="M435" s="5" t="str">
        <f>MID(K435,FIND(",",K435)+2,LEN(K435))</f>
        <v>16:00 - 17:40</v>
      </c>
      <c r="N435" s="7" t="s">
        <v>177</v>
      </c>
    </row>
    <row r="436" spans="2:14" ht="30" hidden="1" customHeight="1" x14ac:dyDescent="0.3">
      <c r="B436" s="5">
        <v>43</v>
      </c>
      <c r="C436" s="5" t="s">
        <v>615</v>
      </c>
      <c r="D436" s="5">
        <v>70</v>
      </c>
      <c r="E436" s="5">
        <v>44</v>
      </c>
      <c r="F436" s="7" t="s">
        <v>359</v>
      </c>
      <c r="G436" s="7" t="s">
        <v>173</v>
      </c>
      <c r="H436" s="5" t="s">
        <v>360</v>
      </c>
      <c r="I436" s="10" t="s">
        <v>361</v>
      </c>
      <c r="J436" s="7" t="s">
        <v>362</v>
      </c>
      <c r="K436" s="7" t="s">
        <v>613</v>
      </c>
      <c r="L436" s="5" t="str">
        <f>LEFT(K436,FIND( ",",K436)-1)</f>
        <v>Selasa</v>
      </c>
      <c r="M436" s="5" t="str">
        <f>MID(K436,FIND(",",K436)+2,LEN(K436))</f>
        <v>13:00 - 13:50</v>
      </c>
      <c r="N436" s="7" t="s">
        <v>177</v>
      </c>
    </row>
    <row r="437" spans="2:14" ht="30" hidden="1" customHeight="1" x14ac:dyDescent="0.3">
      <c r="B437" s="5">
        <v>43</v>
      </c>
      <c r="C437" s="5" t="s">
        <v>615</v>
      </c>
      <c r="D437" s="5">
        <v>70</v>
      </c>
      <c r="E437" s="5">
        <v>13</v>
      </c>
      <c r="F437" s="7" t="s">
        <v>337</v>
      </c>
      <c r="G437" s="7" t="s">
        <v>173</v>
      </c>
      <c r="H437" s="5" t="s">
        <v>338</v>
      </c>
      <c r="I437" s="10" t="s">
        <v>353</v>
      </c>
      <c r="J437" s="7" t="s">
        <v>354</v>
      </c>
      <c r="K437" s="7" t="s">
        <v>503</v>
      </c>
      <c r="L437" s="5" t="str">
        <f>LEFT(K437,FIND( ",",K437)-1)</f>
        <v>Selasa</v>
      </c>
      <c r="M437" s="5" t="str">
        <f>MID(K437,FIND(",",K437)+2,LEN(K437))</f>
        <v>16:00 - 17:40</v>
      </c>
      <c r="N437" s="7" t="s">
        <v>177</v>
      </c>
    </row>
    <row r="438" spans="2:14" ht="30" hidden="1" customHeight="1" x14ac:dyDescent="0.3">
      <c r="B438" s="5">
        <v>43</v>
      </c>
      <c r="C438" s="5" t="s">
        <v>615</v>
      </c>
      <c r="D438" s="5">
        <v>70</v>
      </c>
      <c r="E438" s="5">
        <v>18</v>
      </c>
      <c r="F438" s="7" t="s">
        <v>492</v>
      </c>
      <c r="G438" s="7" t="s">
        <v>220</v>
      </c>
      <c r="H438" s="5" t="s">
        <v>493</v>
      </c>
      <c r="I438" s="10" t="s">
        <v>525</v>
      </c>
      <c r="J438" s="7" t="s">
        <v>433</v>
      </c>
      <c r="K438" s="7" t="s">
        <v>5</v>
      </c>
      <c r="L438" s="5" t="str">
        <f>LEFT(K438,FIND( ",",K438)-1)</f>
        <v>Senin</v>
      </c>
      <c r="M438" s="5" t="str">
        <f>MID(K438,FIND(",",K438)+2,LEN(K438))</f>
        <v>08:00 - 09:40</v>
      </c>
      <c r="N438" s="7" t="s">
        <v>224</v>
      </c>
    </row>
    <row r="439" spans="2:14" ht="30" hidden="1" customHeight="1" x14ac:dyDescent="0.3">
      <c r="B439" s="5">
        <v>43</v>
      </c>
      <c r="C439" s="5" t="s">
        <v>615</v>
      </c>
      <c r="D439" s="5">
        <v>70</v>
      </c>
      <c r="E439" s="5">
        <v>32</v>
      </c>
      <c r="F439" s="7" t="s">
        <v>297</v>
      </c>
      <c r="G439" s="7" t="s">
        <v>576</v>
      </c>
      <c r="H439" s="5" t="s">
        <v>298</v>
      </c>
      <c r="I439" s="10" t="s">
        <v>599</v>
      </c>
      <c r="J439" s="7" t="s">
        <v>301</v>
      </c>
      <c r="K439" s="7" t="s">
        <v>12</v>
      </c>
      <c r="L439" s="5" t="str">
        <f>LEFT(K439,FIND( ",",K439)-1)</f>
        <v>Senin</v>
      </c>
      <c r="M439" s="5" t="str">
        <f>MID(K439,FIND(",",K439)+2,LEN(K439))</f>
        <v>10:00 - 11:40</v>
      </c>
      <c r="N439" s="7" t="s">
        <v>578</v>
      </c>
    </row>
    <row r="440" spans="2:14" ht="30" hidden="1" customHeight="1" x14ac:dyDescent="0.3">
      <c r="B440" s="2">
        <v>44</v>
      </c>
      <c r="C440" s="2" t="s">
        <v>616</v>
      </c>
      <c r="D440" s="2">
        <v>82</v>
      </c>
      <c r="E440" s="2">
        <v>69</v>
      </c>
      <c r="F440" s="1" t="s">
        <v>409</v>
      </c>
      <c r="G440" s="1" t="s">
        <v>173</v>
      </c>
      <c r="H440" s="2" t="s">
        <v>410</v>
      </c>
      <c r="I440" s="11" t="s">
        <v>510</v>
      </c>
      <c r="J440" s="1" t="s">
        <v>509</v>
      </c>
      <c r="K440" s="1" t="s">
        <v>614</v>
      </c>
      <c r="L440" s="2" t="str">
        <f>LEFT(K440,FIND( ",",K440)-1)</f>
        <v>Jumat</v>
      </c>
      <c r="M440" s="2" t="str">
        <f>MID(K440,FIND(",",K440)+2,LEN(K440))</f>
        <v>10:00 - 11:00</v>
      </c>
      <c r="N440" s="1" t="s">
        <v>177</v>
      </c>
    </row>
    <row r="441" spans="2:14" ht="30" hidden="1" customHeight="1" x14ac:dyDescent="0.3">
      <c r="B441" s="2">
        <v>44</v>
      </c>
      <c r="C441" s="2" t="s">
        <v>616</v>
      </c>
      <c r="D441" s="2">
        <v>82</v>
      </c>
      <c r="E441" s="2">
        <v>38</v>
      </c>
      <c r="F441" s="1" t="s">
        <v>214</v>
      </c>
      <c r="G441" s="1" t="s">
        <v>173</v>
      </c>
      <c r="H441" s="2" t="s">
        <v>215</v>
      </c>
      <c r="I441" s="11" t="s">
        <v>216</v>
      </c>
      <c r="J441" s="1"/>
      <c r="K441" s="1" t="s">
        <v>46</v>
      </c>
      <c r="L441" s="2" t="str">
        <f>LEFT(K441,FIND( ",",K441)-1)</f>
        <v>Jumat</v>
      </c>
      <c r="M441" s="2" t="str">
        <f>MID(K441,FIND(",",K441)+2,LEN(K441))</f>
        <v>14:00 - 15:40</v>
      </c>
      <c r="N441" s="1" t="s">
        <v>177</v>
      </c>
    </row>
    <row r="442" spans="2:14" ht="30" hidden="1" customHeight="1" x14ac:dyDescent="0.3">
      <c r="B442" s="2">
        <v>38</v>
      </c>
      <c r="C442" s="2" t="s">
        <v>600</v>
      </c>
      <c r="D442" s="2">
        <v>40</v>
      </c>
      <c r="E442" s="2">
        <v>8</v>
      </c>
      <c r="F442" s="1" t="s">
        <v>237</v>
      </c>
      <c r="G442" s="1" t="s">
        <v>576</v>
      </c>
      <c r="H442" s="2" t="s">
        <v>238</v>
      </c>
      <c r="I442" s="11" t="s">
        <v>606</v>
      </c>
      <c r="J442" s="1" t="s">
        <v>209</v>
      </c>
      <c r="K442" s="1" t="s">
        <v>32</v>
      </c>
      <c r="L442" s="2" t="str">
        <f>LEFT(K442,FIND( ",",K442)-1)</f>
        <v>Kamis</v>
      </c>
      <c r="M442" s="2" t="str">
        <f>MID(K442,FIND(",",K442)+2,LEN(K442))</f>
        <v>16:00 - 17:40</v>
      </c>
      <c r="N442" s="1" t="s">
        <v>578</v>
      </c>
    </row>
    <row r="443" spans="2:14" ht="30" hidden="1" customHeight="1" x14ac:dyDescent="0.3">
      <c r="B443" s="2">
        <v>44</v>
      </c>
      <c r="C443" s="2" t="s">
        <v>616</v>
      </c>
      <c r="D443" s="2">
        <v>82</v>
      </c>
      <c r="E443" s="2">
        <v>39</v>
      </c>
      <c r="F443" s="1" t="s">
        <v>297</v>
      </c>
      <c r="G443" s="1" t="s">
        <v>220</v>
      </c>
      <c r="H443" s="2" t="s">
        <v>298</v>
      </c>
      <c r="I443" s="11" t="s">
        <v>470</v>
      </c>
      <c r="J443" s="1" t="s">
        <v>471</v>
      </c>
      <c r="K443" s="1" t="s">
        <v>32</v>
      </c>
      <c r="L443" s="2" t="str">
        <f>LEFT(K443,FIND( ",",K443)-1)</f>
        <v>Kamis</v>
      </c>
      <c r="M443" s="2" t="str">
        <f>MID(K443,FIND(",",K443)+2,LEN(K443))</f>
        <v>16:00 - 17:40</v>
      </c>
      <c r="N443" s="1" t="s">
        <v>224</v>
      </c>
    </row>
    <row r="444" spans="2:14" ht="30" hidden="1" customHeight="1" x14ac:dyDescent="0.3">
      <c r="B444" s="2">
        <v>44</v>
      </c>
      <c r="C444" s="2" t="s">
        <v>616</v>
      </c>
      <c r="D444" s="2">
        <v>82</v>
      </c>
      <c r="E444" s="2">
        <v>39</v>
      </c>
      <c r="F444" s="1" t="s">
        <v>297</v>
      </c>
      <c r="G444" s="1" t="s">
        <v>220</v>
      </c>
      <c r="H444" s="2" t="s">
        <v>298</v>
      </c>
      <c r="I444" s="11" t="s">
        <v>470</v>
      </c>
      <c r="J444" s="1" t="s">
        <v>472</v>
      </c>
      <c r="K444" s="1" t="s">
        <v>32</v>
      </c>
      <c r="L444" s="2" t="str">
        <f>LEFT(K444,FIND( ",",K444)-1)</f>
        <v>Kamis</v>
      </c>
      <c r="M444" s="2" t="str">
        <f>MID(K444,FIND(",",K444)+2,LEN(K444))</f>
        <v>16:00 - 17:40</v>
      </c>
      <c r="N444" s="1" t="s">
        <v>224</v>
      </c>
    </row>
    <row r="445" spans="2:14" ht="30" customHeight="1" x14ac:dyDescent="0.3">
      <c r="B445" s="2">
        <v>44</v>
      </c>
      <c r="C445" s="2" t="s">
        <v>616</v>
      </c>
      <c r="D445" s="2">
        <v>82</v>
      </c>
      <c r="E445" s="2">
        <v>32</v>
      </c>
      <c r="F445" s="1" t="s">
        <v>269</v>
      </c>
      <c r="G445" s="1" t="s">
        <v>173</v>
      </c>
      <c r="H445" s="2" t="s">
        <v>270</v>
      </c>
      <c r="I445" s="11" t="s">
        <v>288</v>
      </c>
      <c r="J445" s="1" t="s">
        <v>93</v>
      </c>
      <c r="K445" s="1" t="s">
        <v>23</v>
      </c>
      <c r="L445" s="2" t="str">
        <f>LEFT(K445,FIND( ",",K445)-1)</f>
        <v>Rabu</v>
      </c>
      <c r="M445" s="2" t="str">
        <f>MID(K445,FIND(",",K445)+2,LEN(K445))</f>
        <v>08:00 - 09:40</v>
      </c>
      <c r="N445" s="1" t="s">
        <v>177</v>
      </c>
    </row>
    <row r="446" spans="2:14" ht="30" customHeight="1" x14ac:dyDescent="0.3">
      <c r="B446" s="2">
        <v>44</v>
      </c>
      <c r="C446" s="2" t="s">
        <v>616</v>
      </c>
      <c r="D446" s="2">
        <v>82</v>
      </c>
      <c r="E446" s="2">
        <v>34</v>
      </c>
      <c r="F446" s="1" t="s">
        <v>273</v>
      </c>
      <c r="G446" s="1" t="s">
        <v>220</v>
      </c>
      <c r="H446" s="2" t="s">
        <v>274</v>
      </c>
      <c r="I446" s="11" t="s">
        <v>289</v>
      </c>
      <c r="J446" s="1" t="s">
        <v>290</v>
      </c>
      <c r="K446" s="1" t="s">
        <v>31</v>
      </c>
      <c r="L446" s="2" t="str">
        <f>LEFT(K446,FIND( ",",K446)-1)</f>
        <v>Rabu</v>
      </c>
      <c r="M446" s="2" t="str">
        <f>MID(K446,FIND(",",K446)+2,LEN(K446))</f>
        <v>10:00 - 11:40</v>
      </c>
      <c r="N446" s="1" t="s">
        <v>224</v>
      </c>
    </row>
    <row r="447" spans="2:14" ht="30" customHeight="1" x14ac:dyDescent="0.3">
      <c r="B447" s="2">
        <v>44</v>
      </c>
      <c r="C447" s="2" t="s">
        <v>616</v>
      </c>
      <c r="D447" s="2">
        <v>82</v>
      </c>
      <c r="E447" s="2">
        <v>44</v>
      </c>
      <c r="F447" s="1" t="s">
        <v>316</v>
      </c>
      <c r="G447" s="1" t="s">
        <v>173</v>
      </c>
      <c r="H447" s="2" t="s">
        <v>317</v>
      </c>
      <c r="I447" s="11" t="s">
        <v>551</v>
      </c>
      <c r="J447" s="1" t="s">
        <v>486</v>
      </c>
      <c r="K447" s="1" t="s">
        <v>196</v>
      </c>
      <c r="L447" s="2" t="str">
        <f>LEFT(K447,FIND( ",",K447)-1)</f>
        <v>Rabu</v>
      </c>
      <c r="M447" s="2" t="str">
        <f>MID(K447,FIND(",",K447)+2,LEN(K447))</f>
        <v>14:00 - 15:40</v>
      </c>
      <c r="N447" s="1" t="s">
        <v>177</v>
      </c>
    </row>
    <row r="448" spans="2:14" ht="30" customHeight="1" x14ac:dyDescent="0.3">
      <c r="B448" s="2">
        <v>44</v>
      </c>
      <c r="C448" s="2" t="s">
        <v>616</v>
      </c>
      <c r="D448" s="2">
        <v>82</v>
      </c>
      <c r="E448" s="2">
        <v>39</v>
      </c>
      <c r="F448" s="1" t="s">
        <v>316</v>
      </c>
      <c r="G448" s="1" t="s">
        <v>173</v>
      </c>
      <c r="H448" s="2" t="s">
        <v>317</v>
      </c>
      <c r="I448" s="11" t="s">
        <v>378</v>
      </c>
      <c r="J448" s="1" t="s">
        <v>201</v>
      </c>
      <c r="K448" s="1" t="s">
        <v>320</v>
      </c>
      <c r="L448" s="2" t="str">
        <f>LEFT(K448,FIND( ",",K448)-1)</f>
        <v>Rabu</v>
      </c>
      <c r="M448" s="2" t="str">
        <f>MID(K448,FIND(",",K448)+2,LEN(K448))</f>
        <v>16:00 - 17:40</v>
      </c>
      <c r="N448" s="1" t="s">
        <v>177</v>
      </c>
    </row>
    <row r="449" spans="2:14" ht="30" hidden="1" customHeight="1" x14ac:dyDescent="0.3">
      <c r="B449" s="2">
        <v>44</v>
      </c>
      <c r="C449" s="2" t="s">
        <v>616</v>
      </c>
      <c r="D449" s="2">
        <v>82</v>
      </c>
      <c r="E449" s="2">
        <v>19</v>
      </c>
      <c r="F449" s="1" t="s">
        <v>337</v>
      </c>
      <c r="G449" s="1" t="s">
        <v>173</v>
      </c>
      <c r="H449" s="2" t="s">
        <v>338</v>
      </c>
      <c r="I449" s="11" t="s">
        <v>339</v>
      </c>
      <c r="J449" s="1" t="s">
        <v>340</v>
      </c>
      <c r="K449" s="1" t="s">
        <v>503</v>
      </c>
      <c r="L449" s="2" t="str">
        <f>LEFT(K449,FIND( ",",K449)-1)</f>
        <v>Selasa</v>
      </c>
      <c r="M449" s="2" t="str">
        <f>MID(K449,FIND(",",K449)+2,LEN(K449))</f>
        <v>16:00 - 17:40</v>
      </c>
      <c r="N449" s="1" t="s">
        <v>177</v>
      </c>
    </row>
    <row r="450" spans="2:14" ht="30" hidden="1" customHeight="1" x14ac:dyDescent="0.3">
      <c r="B450" s="2">
        <v>44</v>
      </c>
      <c r="C450" s="2" t="s">
        <v>616</v>
      </c>
      <c r="D450" s="2">
        <v>82</v>
      </c>
      <c r="E450" s="2">
        <v>20</v>
      </c>
      <c r="F450" s="1" t="s">
        <v>492</v>
      </c>
      <c r="G450" s="1" t="s">
        <v>220</v>
      </c>
      <c r="H450" s="2" t="s">
        <v>493</v>
      </c>
      <c r="I450" s="11" t="s">
        <v>524</v>
      </c>
      <c r="J450" s="1" t="s">
        <v>433</v>
      </c>
      <c r="K450" s="1" t="s">
        <v>5</v>
      </c>
      <c r="L450" s="2" t="str">
        <f>LEFT(K450,FIND( ",",K450)-1)</f>
        <v>Senin</v>
      </c>
      <c r="M450" s="2" t="str">
        <f>MID(K450,FIND(",",K450)+2,LEN(K450))</f>
        <v>08:00 - 09:40</v>
      </c>
      <c r="N450" s="1" t="s">
        <v>224</v>
      </c>
    </row>
    <row r="451" spans="2:14" ht="30" hidden="1" customHeight="1" x14ac:dyDescent="0.3">
      <c r="B451" s="2">
        <v>44</v>
      </c>
      <c r="C451" s="2" t="s">
        <v>616</v>
      </c>
      <c r="D451" s="2">
        <v>82</v>
      </c>
      <c r="E451" s="2">
        <v>20</v>
      </c>
      <c r="F451" s="1" t="s">
        <v>492</v>
      </c>
      <c r="G451" s="1" t="s">
        <v>220</v>
      </c>
      <c r="H451" s="2" t="s">
        <v>493</v>
      </c>
      <c r="I451" s="11" t="s">
        <v>524</v>
      </c>
      <c r="J451" s="1" t="s">
        <v>182</v>
      </c>
      <c r="K451" s="1" t="s">
        <v>5</v>
      </c>
      <c r="L451" s="2" t="str">
        <f>LEFT(K451,FIND( ",",K451)-1)</f>
        <v>Senin</v>
      </c>
      <c r="M451" s="2" t="str">
        <f>MID(K451,FIND(",",K451)+2,LEN(K451))</f>
        <v>08:00 - 09:40</v>
      </c>
      <c r="N451" s="1" t="s">
        <v>224</v>
      </c>
    </row>
    <row r="452" spans="2:14" ht="30" customHeight="1" x14ac:dyDescent="0.3">
      <c r="B452" s="5">
        <v>45</v>
      </c>
      <c r="C452" s="5" t="s">
        <v>617</v>
      </c>
      <c r="D452" s="5">
        <v>50</v>
      </c>
      <c r="E452" s="5">
        <v>4</v>
      </c>
      <c r="F452" s="7" t="s">
        <v>618</v>
      </c>
      <c r="G452" s="7" t="s">
        <v>173</v>
      </c>
      <c r="H452" s="5" t="s">
        <v>619</v>
      </c>
      <c r="I452" s="10" t="s">
        <v>619</v>
      </c>
      <c r="J452" s="7" t="s">
        <v>315</v>
      </c>
      <c r="K452" s="7" t="s">
        <v>195</v>
      </c>
      <c r="L452" s="5" t="str">
        <f>LEFT(K452,FIND( ",",K452)-1)</f>
        <v>Rabu</v>
      </c>
      <c r="M452" s="5" t="str">
        <f>MID(K452,FIND(",",K452)+2,LEN(K452))</f>
        <v>09:00 - 09:50</v>
      </c>
      <c r="N452" s="7" t="s">
        <v>177</v>
      </c>
    </row>
    <row r="453" spans="2:14" ht="30" hidden="1" customHeight="1" x14ac:dyDescent="0.3">
      <c r="B453" s="5">
        <v>45</v>
      </c>
      <c r="C453" s="5" t="s">
        <v>617</v>
      </c>
      <c r="D453" s="5">
        <v>50</v>
      </c>
      <c r="E453" s="5">
        <v>9</v>
      </c>
      <c r="F453" s="7" t="s">
        <v>359</v>
      </c>
      <c r="G453" s="7" t="s">
        <v>576</v>
      </c>
      <c r="H453" s="5" t="s">
        <v>360</v>
      </c>
      <c r="I453" s="10" t="s">
        <v>605</v>
      </c>
      <c r="J453" s="7" t="s">
        <v>36</v>
      </c>
      <c r="K453" s="7" t="s">
        <v>613</v>
      </c>
      <c r="L453" s="5" t="str">
        <f>LEFT(K453,FIND( ",",K453)-1)</f>
        <v>Selasa</v>
      </c>
      <c r="M453" s="5" t="str">
        <f>MID(K453,FIND(",",K453)+2,LEN(K453))</f>
        <v>13:00 - 13:50</v>
      </c>
      <c r="N453" s="7" t="s">
        <v>578</v>
      </c>
    </row>
    <row r="454" spans="2:14" ht="30" hidden="1" customHeight="1" x14ac:dyDescent="0.3">
      <c r="B454" s="5">
        <v>45</v>
      </c>
      <c r="C454" s="5" t="s">
        <v>617</v>
      </c>
      <c r="D454" s="5">
        <v>50</v>
      </c>
      <c r="E454" s="5">
        <v>4</v>
      </c>
      <c r="F454" s="7" t="s">
        <v>618</v>
      </c>
      <c r="G454" s="7" t="s">
        <v>173</v>
      </c>
      <c r="H454" s="5" t="s">
        <v>619</v>
      </c>
      <c r="I454" s="10" t="s">
        <v>619</v>
      </c>
      <c r="J454" s="7" t="s">
        <v>315</v>
      </c>
      <c r="K454" s="7" t="s">
        <v>21</v>
      </c>
      <c r="L454" s="5" t="str">
        <f>LEFT(K454,FIND( ",",K454)-1)</f>
        <v>Senin</v>
      </c>
      <c r="M454" s="5" t="str">
        <f>MID(K454,FIND(",",K454)+2,LEN(K454))</f>
        <v>15:00 - 16:40</v>
      </c>
      <c r="N454" s="7" t="s">
        <v>177</v>
      </c>
    </row>
    <row r="455" spans="2:14" ht="30" hidden="1" customHeight="1" x14ac:dyDescent="0.3"/>
    <row r="456" spans="2:14" ht="30" hidden="1" customHeight="1" x14ac:dyDescent="0.3"/>
    <row r="457" spans="2:14" ht="30" hidden="1" customHeight="1" x14ac:dyDescent="0.3"/>
    <row r="458" spans="2:14" ht="30" hidden="1" customHeight="1" x14ac:dyDescent="0.3"/>
    <row r="459" spans="2:14" ht="30" hidden="1" customHeight="1" x14ac:dyDescent="0.3"/>
    <row r="460" spans="2:14" ht="30" hidden="1" customHeight="1" x14ac:dyDescent="0.3"/>
    <row r="461" spans="2:14" ht="30" hidden="1" customHeight="1" x14ac:dyDescent="0.3"/>
    <row r="462" spans="2:14" ht="30" hidden="1" customHeight="1" x14ac:dyDescent="0.3"/>
    <row r="463" spans="2:14" ht="30" hidden="1" customHeight="1" x14ac:dyDescent="0.3"/>
    <row r="464" spans="2:14" ht="30" hidden="1" customHeight="1" x14ac:dyDescent="0.3"/>
    <row r="465" ht="30" hidden="1" customHeight="1" x14ac:dyDescent="0.3"/>
    <row r="466" ht="30" hidden="1" customHeight="1" x14ac:dyDescent="0.3"/>
  </sheetData>
  <autoFilter ref="B1:N466" xr:uid="{7796350D-ED61-4E6E-98B8-6108338EADB0}">
    <filterColumn colId="10">
      <filters>
        <filter val="Rabu"/>
      </filters>
    </filterColumn>
    <sortState xmlns:xlrd2="http://schemas.microsoft.com/office/spreadsheetml/2017/richdata2" ref="B9:N454">
      <sortCondition ref="C1:C466"/>
    </sortState>
  </autoFilter>
  <hyperlinks>
    <hyperlink ref="I452" r:id="rId1" display="https://slcm.ui.ac.id/akademik/schedule/room-usage-report" xr:uid="{886E0D8B-CF02-4C1D-B021-29E68E94630B}"/>
    <hyperlink ref="I453" r:id="rId2" display="https://slcm.ui.ac.id/akademik/schedule/room-usage-report" xr:uid="{55A24BEC-F988-412F-A3DC-35980B651337}"/>
    <hyperlink ref="I454" r:id="rId3" display="https://slcm.ui.ac.id/akademik/schedule/room-usage-report" xr:uid="{87F12AD9-8768-4E41-AFED-C7AEA907643D}"/>
    <hyperlink ref="I441" r:id="rId4" display="https://slcm.ui.ac.id/akademik/schedule/room-usage-report" xr:uid="{6790A1F5-D31B-4666-A5A9-495781C0E5AF}"/>
    <hyperlink ref="I440" r:id="rId5" display="https://slcm.ui.ac.id/akademik/schedule/room-usage-report" xr:uid="{A8F5916D-4574-4036-8892-006ACAE50D14}"/>
    <hyperlink ref="I444" r:id="rId6" display="https://slcm.ui.ac.id/akademik/schedule/room-usage-report" xr:uid="{8329C902-F5EB-4F32-8FFB-1C73E7559CC2}"/>
    <hyperlink ref="I443" r:id="rId7" display="https://slcm.ui.ac.id/akademik/schedule/room-usage-report" xr:uid="{CC6DA544-FF38-4D96-BB45-C30E0297E3E5}"/>
    <hyperlink ref="I316" r:id="rId8" display="https://slcm.ui.ac.id/akademik/schedule/room-usage-report" xr:uid="{F81EE742-146B-4AF5-8C5A-DC2FFF7CB22E}"/>
    <hyperlink ref="I448" r:id="rId9" display="https://slcm.ui.ac.id/akademik/schedule/room-usage-report" xr:uid="{27ACA18D-16F5-45ED-9290-6F705209A52A}"/>
    <hyperlink ref="I447" r:id="rId10" display="https://slcm.ui.ac.id/akademik/schedule/room-usage-report" xr:uid="{38013E61-7F91-467D-8643-C1BDDB1723A3}"/>
    <hyperlink ref="I446" r:id="rId11" display="https://slcm.ui.ac.id/akademik/schedule/room-usage-report" xr:uid="{E539FCBE-BA9F-47C6-BD6E-B4CA4DA308B4}"/>
    <hyperlink ref="I445" r:id="rId12" display="https://slcm.ui.ac.id/akademik/schedule/room-usage-report" xr:uid="{FE104B3A-B84D-4D2C-905C-92ABE8F5122D}"/>
    <hyperlink ref="I449" r:id="rId13" display="https://slcm.ui.ac.id/akademik/schedule/room-usage-report" xr:uid="{A557A94A-2EBB-4E2C-A5FF-4B741B99B474}"/>
    <hyperlink ref="I451" r:id="rId14" display="https://slcm.ui.ac.id/akademik/schedule/room-usage-report" xr:uid="{0A3D9C75-504B-4D12-8218-5A7ED9D41403}"/>
    <hyperlink ref="I450" r:id="rId15" display="https://slcm.ui.ac.id/akademik/schedule/room-usage-report" xr:uid="{7FFB7796-1FEB-457E-BE70-426482E39CBB}"/>
    <hyperlink ref="I429" r:id="rId16" display="https://slcm.ui.ac.id/akademik/schedule/room-usage-report" xr:uid="{219F2FD1-37F1-4ED6-9ADB-B2A72AA38E43}"/>
    <hyperlink ref="I428" r:id="rId17" display="https://slcm.ui.ac.id/akademik/schedule/room-usage-report" xr:uid="{5C67324F-5FA0-4B55-9673-BC14A144F112}"/>
    <hyperlink ref="I427" r:id="rId18" display="https://slcm.ui.ac.id/akademik/schedule/room-usage-report" xr:uid="{111A2D1A-F816-4030-8E7F-2B157DE3EB26}"/>
    <hyperlink ref="I391" r:id="rId19" display="https://slcm.ui.ac.id/akademik/schedule/room-usage-report" xr:uid="{1EF0DD7C-D1DD-4A29-9312-DDEBA0A7E50D}"/>
    <hyperlink ref="I315" r:id="rId20" display="https://slcm.ui.ac.id/akademik/schedule/room-usage-report" xr:uid="{62194E42-618D-4A73-AF97-BA0A5D4AA40D}"/>
    <hyperlink ref="I314" r:id="rId21" display="https://slcm.ui.ac.id/akademik/schedule/room-usage-report" xr:uid="{2CBE937A-54B2-42EF-A35B-0F7305449D7E}"/>
    <hyperlink ref="I435" r:id="rId22" display="https://slcm.ui.ac.id/akademik/schedule/room-usage-report" xr:uid="{99BD2DF9-F0B2-4D0C-B2BA-DEB12C3D0CD1}"/>
    <hyperlink ref="I434" r:id="rId23" display="https://slcm.ui.ac.id/akademik/schedule/room-usage-report" xr:uid="{AFF6A758-94AB-40E7-8A36-1A874A1067A0}"/>
    <hyperlink ref="I433" r:id="rId24" display="https://slcm.ui.ac.id/akademik/schedule/room-usage-report" xr:uid="{1C3A59D9-6A2D-4B5F-ACCB-47C58740912E}"/>
    <hyperlink ref="I437" r:id="rId25" display="https://slcm.ui.ac.id/akademik/schedule/room-usage-report" xr:uid="{9DE96DBF-1CA3-43DE-BAC3-3119FA06930D}"/>
    <hyperlink ref="I436" r:id="rId26" display="https://slcm.ui.ac.id/akademik/schedule/room-usage-report" xr:uid="{A9DF471A-79B6-457C-8045-407A181A21E0}"/>
    <hyperlink ref="I439" r:id="rId27" display="https://slcm.ui.ac.id/akademik/schedule/room-usage-report" xr:uid="{DBA5E67B-B51C-4702-9B5A-1191DFBDD652}"/>
    <hyperlink ref="I438" r:id="rId28" display="https://slcm.ui.ac.id/akademik/schedule/room-usage-report" xr:uid="{4B177F12-5668-4280-A555-4A17F67A18B4}"/>
    <hyperlink ref="I416" r:id="rId29" display="https://slcm.ui.ac.id/akademik/schedule/room-usage-report" xr:uid="{6BA39A1D-6B7D-493E-9CBC-0F1371AD0C1D}"/>
    <hyperlink ref="I415" r:id="rId30" display="https://slcm.ui.ac.id/akademik/schedule/room-usage-report" xr:uid="{3F501F05-3C28-4B30-9FD8-6E2BA7533A2B}"/>
    <hyperlink ref="I414" r:id="rId31" display="https://slcm.ui.ac.id/akademik/schedule/room-usage-report" xr:uid="{94F95D80-DF81-42B9-A557-0A43C9C23CA5}"/>
    <hyperlink ref="I413" r:id="rId32" display="https://slcm.ui.ac.id/akademik/schedule/room-usage-report" xr:uid="{B3E465BC-4790-4492-A9BF-A2D2DB6B6543}"/>
    <hyperlink ref="I378" r:id="rId33" display="https://slcm.ui.ac.id/akademik/schedule/room-usage-report" xr:uid="{FB4D9F0F-3808-4AFD-BBB2-57AB89D14AA6}"/>
    <hyperlink ref="I377" r:id="rId34" display="https://slcm.ui.ac.id/akademik/schedule/room-usage-report" xr:uid="{BA1BDBDF-4831-41B9-ABC8-4369BA907CA2}"/>
    <hyperlink ref="I298" r:id="rId35" display="https://slcm.ui.ac.id/akademik/schedule/room-usage-report" xr:uid="{276E7E8D-AD69-48D8-9FAC-E49363761638}"/>
    <hyperlink ref="I423" r:id="rId36" display="https://slcm.ui.ac.id/akademik/schedule/room-usage-report" xr:uid="{3E367289-F68C-4A25-8EBA-8D0F5C439A9D}"/>
    <hyperlink ref="I422" r:id="rId37" display="https://slcm.ui.ac.id/akademik/schedule/room-usage-report" xr:uid="{0B8102EA-5C74-4641-BBB3-B16162A2437C}"/>
    <hyperlink ref="I421" r:id="rId38" display="https://slcm.ui.ac.id/akademik/schedule/room-usage-report" xr:uid="{BE591895-7A0D-4503-8A82-BF628B071D58}"/>
    <hyperlink ref="I420" r:id="rId39" display="https://slcm.ui.ac.id/akademik/schedule/room-usage-report" xr:uid="{6541C8CB-3A10-4898-B0F2-54D1F839D0CB}"/>
    <hyperlink ref="I425" r:id="rId40" display="https://slcm.ui.ac.id/akademik/schedule/room-usage-report" xr:uid="{A6116D52-344F-425D-803E-206C992A2E8B}"/>
    <hyperlink ref="I424" r:id="rId41" display="https://slcm.ui.ac.id/akademik/schedule/room-usage-report" xr:uid="{CA9D284A-4AE3-499E-A2AA-ECF696CC96E4}"/>
    <hyperlink ref="I426" r:id="rId42" display="https://slcm.ui.ac.id/akademik/schedule/room-usage-report" xr:uid="{341A070F-8C90-4B28-B0AD-57F7461690EF}"/>
    <hyperlink ref="I402" r:id="rId43" display="https://slcm.ui.ac.id/akademik/schedule/room-usage-report" xr:uid="{A7F5B0A8-EBB2-43D4-B821-CC1DCE6B0261}"/>
    <hyperlink ref="I442" r:id="rId44" display="https://slcm.ui.ac.id/akademik/schedule/room-usage-report" xr:uid="{C1489A81-1CBF-4281-A900-D828F2341ED6}"/>
    <hyperlink ref="I297" r:id="rId45" display="https://slcm.ui.ac.id/akademik/schedule/room-usage-report" xr:uid="{E5BC5083-AB91-452B-8A63-F3C409A592C3}"/>
    <hyperlink ref="I194" r:id="rId46" display="https://slcm.ui.ac.id/akademik/schedule/room-usage-report" xr:uid="{0F447112-C97F-4C9E-B089-BD5BFFFE11FB}"/>
    <hyperlink ref="I408" r:id="rId47" display="https://slcm.ui.ac.id/akademik/schedule/room-usage-report" xr:uid="{56AF102E-C758-4AB2-93BE-3D2C25E9DDC5}"/>
    <hyperlink ref="I407" r:id="rId48" display="https://slcm.ui.ac.id/akademik/schedule/room-usage-report" xr:uid="{4995439B-3DC4-486E-911E-145FD79EA110}"/>
    <hyperlink ref="I406" r:id="rId49" display="https://slcm.ui.ac.id/akademik/schedule/room-usage-report" xr:uid="{C9D26B6C-A539-49ED-A4A7-191F892271A9}"/>
    <hyperlink ref="I410" r:id="rId50" display="https://slcm.ui.ac.id/akademik/schedule/room-usage-report" xr:uid="{A1445AFF-4114-41C2-9900-74C7967DBC34}"/>
    <hyperlink ref="I409" r:id="rId51" display="https://slcm.ui.ac.id/akademik/schedule/room-usage-report" xr:uid="{0FBB0016-B3E8-4371-9E52-8EBF2B7CE3A2}"/>
    <hyperlink ref="I412" r:id="rId52" display="https://slcm.ui.ac.id/akademik/schedule/room-usage-report" xr:uid="{242A36C3-0617-4490-8EF3-AC3DFFE566DC}"/>
    <hyperlink ref="I411" r:id="rId53" display="https://slcm.ui.ac.id/akademik/schedule/room-usage-report" xr:uid="{1F9C55C8-A34C-45FC-8CE1-4E33B1596C51}"/>
    <hyperlink ref="I390" r:id="rId54" display="https://slcm.ui.ac.id/akademik/schedule/room-usage-report" xr:uid="{BABE0FF9-DCE5-484D-9031-6C631DD73B8C}"/>
    <hyperlink ref="I389" r:id="rId55" display="https://slcm.ui.ac.id/akademik/schedule/room-usage-report" xr:uid="{60F220FE-E659-4BE9-92E7-A3E114AADDC6}"/>
    <hyperlink ref="I295" r:id="rId56" display="https://slcm.ui.ac.id/akademik/schedule/room-usage-report" xr:uid="{1AC6463C-3A1A-4727-8723-CC2A8907A06E}"/>
    <hyperlink ref="I193" r:id="rId57" display="https://slcm.ui.ac.id/akademik/schedule/room-usage-report" xr:uid="{496A3C66-8AE1-421C-985E-E5F7C67A2F63}"/>
    <hyperlink ref="I107" r:id="rId58" display="https://slcm.ui.ac.id/akademik/schedule/room-usage-report" xr:uid="{926DCF35-32FC-490A-AB1B-4417B643959B}"/>
    <hyperlink ref="I15" r:id="rId59" display="https://slcm.ui.ac.id/akademik/schedule/room-usage-report" xr:uid="{5E57E1D5-9573-4D81-98F6-D233BEFBA8A4}"/>
    <hyperlink ref="I396" r:id="rId60" display="https://slcm.ui.ac.id/akademik/schedule/room-usage-report" xr:uid="{909EB353-4F68-4099-876A-15CD6028B1CA}"/>
    <hyperlink ref="I395" r:id="rId61" display="https://slcm.ui.ac.id/akademik/schedule/room-usage-report" xr:uid="{52FBCACF-16D7-4721-917E-ED311D2F063F}"/>
    <hyperlink ref="I399" r:id="rId62" display="https://slcm.ui.ac.id/akademik/schedule/room-usage-report" xr:uid="{22009C4E-6CB4-419B-876C-64E2DC24B54D}"/>
    <hyperlink ref="I398" r:id="rId63" display="https://slcm.ui.ac.id/akademik/schedule/room-usage-report" xr:uid="{F81ECC03-93DE-4F0A-9AD1-E1312D0FDC7B}"/>
    <hyperlink ref="I397" r:id="rId64" display="https://slcm.ui.ac.id/akademik/schedule/room-usage-report" xr:uid="{03649CEF-53E7-4C07-8971-0B4B353FB64A}"/>
    <hyperlink ref="I401" r:id="rId65" display="https://slcm.ui.ac.id/akademik/schedule/room-usage-report" xr:uid="{A1B56C01-8BDB-470A-B23D-8EB128BCCBC1}"/>
    <hyperlink ref="I400" r:id="rId66" display="https://slcm.ui.ac.id/akademik/schedule/room-usage-report" xr:uid="{7A365D82-A8F9-4A7B-9B53-B6E75348B778}"/>
    <hyperlink ref="I243" r:id="rId67" display="https://slcm.ui.ac.id/akademik/schedule/room-usage-report" xr:uid="{28D49668-DBD3-42F1-968D-192FA79DF368}"/>
    <hyperlink ref="I161" r:id="rId68" display="https://slcm.ui.ac.id/akademik/schedule/room-usage-report" xr:uid="{C34F55D7-3BCF-4686-BA94-4955501E0B16}"/>
    <hyperlink ref="I98" r:id="rId69" display="https://slcm.ui.ac.id/akademik/schedule/room-usage-report" xr:uid="{DFB0B054-32A4-4AD8-B15D-A7094B943040}"/>
    <hyperlink ref="I4" r:id="rId70" display="https://slcm.ui.ac.id/akademik/schedule/room-usage-report" xr:uid="{A84F9582-832F-45DF-BAB3-9A092CF7BE50}"/>
    <hyperlink ref="I381" r:id="rId71" display="https://slcm.ui.ac.id/akademik/schedule/room-usage-report" xr:uid="{AE316488-D892-40CD-BE6D-4B105A5DFEBA}"/>
    <hyperlink ref="I380" r:id="rId72" display="https://slcm.ui.ac.id/akademik/schedule/room-usage-report" xr:uid="{1CA00F00-9618-4C75-B87B-7D0BFBDCEA0F}"/>
    <hyperlink ref="I379" r:id="rId73" display="https://slcm.ui.ac.id/akademik/schedule/room-usage-report" xr:uid="{5BF05938-1D82-4E19-B029-0012EDEF83E0}"/>
    <hyperlink ref="I385" r:id="rId74" display="https://slcm.ui.ac.id/akademik/schedule/room-usage-report" xr:uid="{A9C1D634-CB3A-41A5-81D1-89FFC810DA90}"/>
    <hyperlink ref="I384" r:id="rId75" display="https://slcm.ui.ac.id/akademik/schedule/room-usage-report" xr:uid="{C7ABD14D-CACB-4A49-ABAC-0203155CE9FF}"/>
    <hyperlink ref="I383" r:id="rId76" display="https://slcm.ui.ac.id/akademik/schedule/room-usage-report" xr:uid="{25962C53-E07D-4991-9D31-9846FEF462C4}"/>
    <hyperlink ref="I382" r:id="rId77" display="https://slcm.ui.ac.id/akademik/schedule/room-usage-report" xr:uid="{3249B851-B07B-4024-AB11-4C8CACF2A621}"/>
    <hyperlink ref="I388" r:id="rId78" display="https://slcm.ui.ac.id/akademik/schedule/room-usage-report" xr:uid="{CA0608FA-2831-44D1-9BAA-83ACF62C7F38}"/>
    <hyperlink ref="I387" r:id="rId79" display="https://slcm.ui.ac.id/akademik/schedule/room-usage-report" xr:uid="{DC428C8E-E472-4400-B009-E88BDF2633B3}"/>
    <hyperlink ref="I386" r:id="rId80" display="https://slcm.ui.ac.id/akademik/schedule/room-usage-report" xr:uid="{39A87ED3-DE75-44F2-8112-0BB350070B28}"/>
    <hyperlink ref="I367" r:id="rId81" display="https://slcm.ui.ac.id/akademik/schedule/room-usage-report" xr:uid="{2E6D1F1E-CF1C-4312-BFAB-6270E9C858B6}"/>
    <hyperlink ref="I338" r:id="rId82" display="https://slcm.ui.ac.id/akademik/schedule/room-usage-report" xr:uid="{4EFDE660-D07C-41A8-BCEE-9B5EE3FFA181}"/>
    <hyperlink ref="I192" r:id="rId83" display="https://slcm.ui.ac.id/akademik/schedule/room-usage-report" xr:uid="{92D94F00-0F45-4A96-8A2F-D45299809B8D}"/>
    <hyperlink ref="I370" r:id="rId84" display="https://slcm.ui.ac.id/akademik/schedule/room-usage-report" xr:uid="{7D39EA9F-712A-4AE7-9D4B-EC55B71D5382}"/>
    <hyperlink ref="I373" r:id="rId85" display="https://slcm.ui.ac.id/akademik/schedule/room-usage-report" xr:uid="{4BC789A1-FAE2-4357-826C-FCEFCBFE1CEF}"/>
    <hyperlink ref="I372" r:id="rId86" display="https://slcm.ui.ac.id/akademik/schedule/room-usage-report" xr:uid="{46A59CB0-1F10-4D66-A0D4-E0C09B036B9E}"/>
    <hyperlink ref="I371" r:id="rId87" display="https://slcm.ui.ac.id/akademik/schedule/room-usage-report" xr:uid="{DEA13C7F-AA79-447B-9AB4-0EC7A9B3AEE5}"/>
    <hyperlink ref="I374" r:id="rId88" display="https://slcm.ui.ac.id/akademik/schedule/room-usage-report" xr:uid="{1936C0BC-2829-47F0-928F-800C5E8C3143}"/>
    <hyperlink ref="I350" r:id="rId89" display="https://slcm.ui.ac.id/akademik/schedule/room-usage-report" xr:uid="{676D41E7-90E9-40D0-B4E4-5DE8C46721F1}"/>
    <hyperlink ref="I393" r:id="rId90" display="https://slcm.ui.ac.id/akademik/schedule/room-usage-report" xr:uid="{7953EF2E-8BB7-46C7-837D-B174FDFA19FD}"/>
    <hyperlink ref="I368" r:id="rId91" display="https://slcm.ui.ac.id/akademik/schedule/room-usage-report" xr:uid="{500B000B-F34C-458B-8D33-FBFEE49CEA80}"/>
    <hyperlink ref="I160" r:id="rId92" display="https://slcm.ui.ac.id/akademik/schedule/room-usage-report" xr:uid="{4D91FCAB-78B9-4B30-AC11-BCF7D4A81725}"/>
    <hyperlink ref="I147" r:id="rId93" display="https://slcm.ui.ac.id/akademik/schedule/room-usage-report" xr:uid="{BE050099-1A19-489A-A7BC-3D072805056F}"/>
    <hyperlink ref="I97" r:id="rId94" display="https://slcm.ui.ac.id/akademik/schedule/room-usage-report" xr:uid="{EC6B6150-F53F-4AD4-89A0-C150283C1FFC}"/>
    <hyperlink ref="I360" r:id="rId95" display="https://slcm.ui.ac.id/akademik/schedule/room-usage-report" xr:uid="{14B138EA-3CB7-4A35-B4F9-B22E3D6AB238}"/>
    <hyperlink ref="I359" r:id="rId96" display="https://slcm.ui.ac.id/akademik/schedule/room-usage-report" xr:uid="{69F077D9-BAEE-4491-A702-2584A0A95AE9}"/>
    <hyperlink ref="I358" r:id="rId97" display="https://slcm.ui.ac.id/akademik/schedule/room-usage-report" xr:uid="{203D8738-1DBC-4233-AB99-D63405772EE9}"/>
    <hyperlink ref="I357" r:id="rId98" display="https://slcm.ui.ac.id/akademik/schedule/room-usage-report" xr:uid="{B4C79676-7031-4039-B0FF-1E84B9B62119}"/>
    <hyperlink ref="I356" r:id="rId99" display="https://slcm.ui.ac.id/akademik/schedule/room-usage-report" xr:uid="{29A042CE-F064-402C-AA2B-F2BF770AC791}"/>
    <hyperlink ref="I362" r:id="rId100" display="https://slcm.ui.ac.id/akademik/schedule/room-usage-report" xr:uid="{8E99CCCA-C040-4970-9403-89AFD1ABEC6A}"/>
    <hyperlink ref="I361" r:id="rId101" display="https://slcm.ui.ac.id/akademik/schedule/room-usage-report" xr:uid="{9EAD334C-C8EF-4036-9F33-E0B1D6D0F7FB}"/>
    <hyperlink ref="I366" r:id="rId102" display="https://slcm.ui.ac.id/akademik/schedule/room-usage-report" xr:uid="{96261B47-7EEA-49F6-A6EA-BE3195B21B49}"/>
    <hyperlink ref="I365" r:id="rId103" display="https://slcm.ui.ac.id/akademik/schedule/room-usage-report" xr:uid="{D51568D4-82E2-4DBF-BE6E-1C7B8156A4A0}"/>
    <hyperlink ref="I364" r:id="rId104" display="https://slcm.ui.ac.id/akademik/schedule/room-usage-report" xr:uid="{9FA0237E-6ED2-41D8-A545-E469AD2300A9}"/>
    <hyperlink ref="I363" r:id="rId105" display="https://slcm.ui.ac.id/akademik/schedule/room-usage-report" xr:uid="{E3F140D7-6809-405E-A5E2-E9250D9D442F}"/>
    <hyperlink ref="I334" r:id="rId106" display="https://slcm.ui.ac.id/akademik/schedule/room-usage-report" xr:uid="{7F87EA4B-BDE5-49C5-B4E7-51D6E7B8D5D0}"/>
    <hyperlink ref="I333" r:id="rId107" display="https://slcm.ui.ac.id/akademik/schedule/room-usage-report" xr:uid="{95C48D5E-AA15-4051-A123-FC5C394C58CD}"/>
    <hyperlink ref="I332" r:id="rId108" display="https://slcm.ui.ac.id/akademik/schedule/room-usage-report" xr:uid="{6305773B-12B3-41D0-8575-571CA61F7D14}"/>
    <hyperlink ref="I331" r:id="rId109" display="https://slcm.ui.ac.id/akademik/schedule/room-usage-report" xr:uid="{AF8F9162-F1FF-4CC1-827D-7E6E70191EC1}"/>
    <hyperlink ref="I279" r:id="rId110" display="https://slcm.ui.ac.id/akademik/schedule/room-usage-report" xr:uid="{1E610773-80A4-44C4-9C95-58B2958BF9B7}"/>
    <hyperlink ref="I278" r:id="rId111" display="https://slcm.ui.ac.id/akademik/schedule/room-usage-report" xr:uid="{5B19BE4D-8C20-40F2-A81B-AF28F7BBDCFB}"/>
    <hyperlink ref="I191" r:id="rId112" display="https://slcm.ui.ac.id/akademik/schedule/room-usage-report" xr:uid="{30A7551A-7D69-4531-A602-3D30D55AC8E8}"/>
    <hyperlink ref="I64" r:id="rId113" display="https://slcm.ui.ac.id/akademik/schedule/room-usage-report" xr:uid="{74F2DB53-51F2-4EA2-9B02-4F6C962AE3DD}"/>
    <hyperlink ref="I63" r:id="rId114" display="https://slcm.ui.ac.id/akademik/schedule/room-usage-report" xr:uid="{F50CE1B1-6EFE-4733-8926-158DE5B017C2}"/>
    <hyperlink ref="I341" r:id="rId115" display="https://slcm.ui.ac.id/akademik/schedule/room-usage-report" xr:uid="{DD6223D3-272A-4407-AA1B-7F97ACF931DD}"/>
    <hyperlink ref="I340" r:id="rId116" display="https://slcm.ui.ac.id/akademik/schedule/room-usage-report" xr:uid="{419F0952-8BEB-48F6-A17A-3A6F3051DE59}"/>
    <hyperlink ref="I345" r:id="rId117" display="https://slcm.ui.ac.id/akademik/schedule/room-usage-report" xr:uid="{4C96F5F5-5CDC-4D64-BEED-2B238610C1F7}"/>
    <hyperlink ref="I344" r:id="rId118" display="https://slcm.ui.ac.id/akademik/schedule/room-usage-report" xr:uid="{0343F2B4-171F-470B-A15C-FBDE35538C85}"/>
    <hyperlink ref="I343" r:id="rId119" display="https://slcm.ui.ac.id/akademik/schedule/room-usage-report" xr:uid="{F7D42306-5A23-4E5A-82DB-69C30A591453}"/>
    <hyperlink ref="I342" r:id="rId120" display="https://slcm.ui.ac.id/akademik/schedule/room-usage-report" xr:uid="{9E1B5F1E-C413-4BF8-BBB2-A48F16EF184D}"/>
    <hyperlink ref="I349" r:id="rId121" display="https://slcm.ui.ac.id/akademik/schedule/room-usage-report" xr:uid="{A2248EAB-71FF-4998-A8A1-9F64DEF6EA1C}"/>
    <hyperlink ref="I348" r:id="rId122" display="https://slcm.ui.ac.id/akademik/schedule/room-usage-report" xr:uid="{90868153-658F-45F8-841E-37728851D99E}"/>
    <hyperlink ref="I347" r:id="rId123" display="https://slcm.ui.ac.id/akademik/schedule/room-usage-report" xr:uid="{57AB0E79-0ACC-41A4-80C8-75320E3C9615}"/>
    <hyperlink ref="I346" r:id="rId124" display="https://slcm.ui.ac.id/akademik/schedule/room-usage-report" xr:uid="{F6F9C16E-CBE6-49AB-A762-C4DA993BA49A}"/>
    <hyperlink ref="I313" r:id="rId125" display="https://slcm.ui.ac.id/akademik/schedule/room-usage-report" xr:uid="{E6965E6A-444D-41BE-8351-EFBCE9FCD303}"/>
    <hyperlink ref="I312" r:id="rId126" display="https://slcm.ui.ac.id/akademik/schedule/room-usage-report" xr:uid="{067ACC56-0A35-4815-B5E0-4C980BFA7DD5}"/>
    <hyperlink ref="I311" r:id="rId127" display="https://slcm.ui.ac.id/akademik/schedule/room-usage-report" xr:uid="{BAB1EA59-58A4-4C10-B066-7EFCB73A0568}"/>
    <hyperlink ref="I355" r:id="rId128" display="https://slcm.ui.ac.id/akademik/schedule/room-usage-report" xr:uid="{36B34483-1F4C-4D19-9808-E516F34E2244}"/>
    <hyperlink ref="I277" r:id="rId129" display="https://slcm.ui.ac.id/akademik/schedule/room-usage-report" xr:uid="{C8B846CA-C0AB-46DB-859B-E0FB3DAF5DA6}"/>
    <hyperlink ref="I242" r:id="rId130" display="https://slcm.ui.ac.id/akademik/schedule/room-usage-report" xr:uid="{BBE1062E-9F7F-4BD6-AD96-C3B48AB5A8BD}"/>
    <hyperlink ref="I320" r:id="rId131" display="https://slcm.ui.ac.id/akademik/schedule/room-usage-report" xr:uid="{BE077AB3-DB53-479B-9C62-033AFBB9B6AE}"/>
    <hyperlink ref="I319" r:id="rId132" display="https://slcm.ui.ac.id/akademik/schedule/room-usage-report" xr:uid="{9D018C8D-9761-4F82-86C3-8528BE3A8BDE}"/>
    <hyperlink ref="I318" r:id="rId133" display="https://slcm.ui.ac.id/akademik/schedule/room-usage-report" xr:uid="{B5812595-AB45-4720-A94F-7D0558756747}"/>
    <hyperlink ref="I317" r:id="rId134" display="https://slcm.ui.ac.id/akademik/schedule/room-usage-report" xr:uid="{4376FEE2-5703-454A-8A99-C63C71ACF6B2}"/>
    <hyperlink ref="I325" r:id="rId135" display="https://slcm.ui.ac.id/akademik/schedule/room-usage-report" xr:uid="{00EC1F4C-CB16-44BE-83F7-CC48DB3B2407}"/>
    <hyperlink ref="I324" r:id="rId136" display="https://slcm.ui.ac.id/akademik/schedule/room-usage-report" xr:uid="{9450445C-6E03-4E4F-BCC5-C5DB12BAEE87}"/>
    <hyperlink ref="I323" r:id="rId137" display="https://slcm.ui.ac.id/akademik/schedule/room-usage-report" xr:uid="{0BF106A1-4E2F-49E8-8B82-84D43981DEE5}"/>
    <hyperlink ref="I322" r:id="rId138" display="https://slcm.ui.ac.id/akademik/schedule/room-usage-report" xr:uid="{8D580CCE-C67E-47AC-815E-1E29E43D4481}"/>
    <hyperlink ref="I321" r:id="rId139" display="https://slcm.ui.ac.id/akademik/schedule/room-usage-report" xr:uid="{ADC23ECE-EFE5-4CFE-B835-554796399E8C}"/>
    <hyperlink ref="I330" r:id="rId140" display="https://slcm.ui.ac.id/akademik/schedule/room-usage-report" xr:uid="{F9C568AF-323C-4E19-BBA7-D284F889B7F6}"/>
    <hyperlink ref="I329" r:id="rId141" display="https://slcm.ui.ac.id/akademik/schedule/room-usage-report" xr:uid="{172D55EE-3545-4E86-8BC1-0FE5E5A28EB3}"/>
    <hyperlink ref="I328" r:id="rId142" display="https://slcm.ui.ac.id/akademik/schedule/room-usage-report" xr:uid="{743C30DB-3CCC-45F3-85A5-C4BE8D468880}"/>
    <hyperlink ref="I327" r:id="rId143" display="https://slcm.ui.ac.id/akademik/schedule/room-usage-report" xr:uid="{4D22E7EF-321C-4F9A-B234-3B58E380FFD8}"/>
    <hyperlink ref="I326" r:id="rId144" display="https://slcm.ui.ac.id/akademik/schedule/room-usage-report" xr:uid="{30A4B0B7-B354-41B1-9B3A-66169F908500}"/>
    <hyperlink ref="I294" r:id="rId145" display="https://slcm.ui.ac.id/akademik/schedule/room-usage-report" xr:uid="{53B94795-764F-4BD6-8FF0-30BF99B7ED9B}"/>
    <hyperlink ref="I293" r:id="rId146" display="https://slcm.ui.ac.id/akademik/schedule/room-usage-report" xr:uid="{A8ADE6B5-5D22-4CCE-B428-80CAFB26E9C4}"/>
    <hyperlink ref="I292" r:id="rId147" display="https://slcm.ui.ac.id/akademik/schedule/room-usage-report" xr:uid="{BADBF31B-94ED-4EE7-B39B-5A764FC62FA3}"/>
    <hyperlink ref="I432" r:id="rId148" display="https://slcm.ui.ac.id/akademik/schedule/room-usage-report" xr:uid="{D8A1D712-5DC4-4BB1-A233-A10FCB4D238B}"/>
    <hyperlink ref="I182" r:id="rId149" display="https://slcm.ui.ac.id/akademik/schedule/room-usage-report" xr:uid="{4643FAAC-81C6-4151-A050-D05F6CA70A8C}"/>
    <hyperlink ref="I49" r:id="rId150" display="https://slcm.ui.ac.id/akademik/schedule/room-usage-report" xr:uid="{DA029F99-08BF-44B0-9059-2D4953CEE8F5}"/>
    <hyperlink ref="I34" r:id="rId151" display="https://slcm.ui.ac.id/akademik/schedule/room-usage-report" xr:uid="{1FDECD23-8C11-448D-AAC6-AD78C71C4DBD}"/>
    <hyperlink ref="I302" r:id="rId152" display="https://slcm.ui.ac.id/akademik/schedule/room-usage-report" xr:uid="{E2562A8B-8095-48F5-9E7B-D697C6F0B75C}"/>
    <hyperlink ref="I301" r:id="rId153" display="https://slcm.ui.ac.id/akademik/schedule/room-usage-report" xr:uid="{B39E226D-6908-4F5A-B6DD-7AC2A9F83C4C}"/>
    <hyperlink ref="I300" r:id="rId154" display="https://slcm.ui.ac.id/akademik/schedule/room-usage-report" xr:uid="{DB75D32F-F2F4-4E71-8466-09D2A87C815F}"/>
    <hyperlink ref="I299" r:id="rId155" display="https://slcm.ui.ac.id/akademik/schedule/room-usage-report" xr:uid="{9D9825CC-2009-4620-BBD7-1C494928E1F9}"/>
    <hyperlink ref="I306" r:id="rId156" display="https://slcm.ui.ac.id/akademik/schedule/room-usage-report" xr:uid="{53055EA2-58FF-4B08-BA07-CF832BF1B773}"/>
    <hyperlink ref="I305" r:id="rId157" display="https://slcm.ui.ac.id/akademik/schedule/room-usage-report" xr:uid="{BD2AE7E3-8762-4D66-8A7E-56BDD6A9A6C1}"/>
    <hyperlink ref="I304" r:id="rId158" display="https://slcm.ui.ac.id/akademik/schedule/room-usage-report" xr:uid="{CEC42EF7-9961-4131-8411-2EBEC3D9A521}"/>
    <hyperlink ref="I303" r:id="rId159" display="https://slcm.ui.ac.id/akademik/schedule/room-usage-report" xr:uid="{DA24A292-BA71-416C-A3E1-8C3BBFA04339}"/>
    <hyperlink ref="I310" r:id="rId160" display="https://slcm.ui.ac.id/akademik/schedule/room-usage-report" xr:uid="{EAE3ADD2-2E28-4D05-B87A-3E8BEE74C5D5}"/>
    <hyperlink ref="I309" r:id="rId161" display="https://slcm.ui.ac.id/akademik/schedule/room-usage-report" xr:uid="{060912AE-4BD3-400B-B85E-9602C75717EC}"/>
    <hyperlink ref="I308" r:id="rId162" display="https://slcm.ui.ac.id/akademik/schedule/room-usage-report" xr:uid="{EC48AC03-B2A5-41C9-A050-B8268980108B}"/>
    <hyperlink ref="I307" r:id="rId163" display="https://slcm.ui.ac.id/akademik/schedule/room-usage-report" xr:uid="{CDB3BF5C-3EBC-4CBC-AD1C-E29807966DAE}"/>
    <hyperlink ref="I274" r:id="rId164" display="https://slcm.ui.ac.id/akademik/schedule/room-usage-report" xr:uid="{2D7EA784-46B2-4400-986F-C83487AE6ABD}"/>
    <hyperlink ref="I273" r:id="rId165" display="https://slcm.ui.ac.id/akademik/schedule/room-usage-report" xr:uid="{84031E83-246F-466D-8BDC-3DBAC289A0B8}"/>
    <hyperlink ref="I272" r:id="rId166" display="https://slcm.ui.ac.id/akademik/schedule/room-usage-report" xr:uid="{23CA0C7E-52C1-4B88-8804-BEB06B2E97B7}"/>
    <hyperlink ref="I431" r:id="rId167" display="https://slcm.ui.ac.id/akademik/schedule/room-usage-report" xr:uid="{71AD6EFA-7FEB-4539-B67F-A776718A77E9}"/>
    <hyperlink ref="I353" r:id="rId168" display="https://slcm.ui.ac.id/akademik/schedule/room-usage-report" xr:uid="{8B46CA29-4C29-4834-B2EB-FB85EA226513}"/>
    <hyperlink ref="I181" r:id="rId169" display="https://slcm.ui.ac.id/akademik/schedule/room-usage-report" xr:uid="{1DDF649E-A39B-440C-8DD8-687C6FFAB61E}"/>
    <hyperlink ref="I33" r:id="rId170" display="https://slcm.ui.ac.id/akademik/schedule/room-usage-report" xr:uid="{C6828DC9-C9D5-404D-ACB6-507EAC36B484}"/>
    <hyperlink ref="I32" r:id="rId171" display="https://slcm.ui.ac.id/akademik/schedule/room-usage-report" xr:uid="{42CC5573-D14A-4AD1-8793-2B114CCECF5B}"/>
    <hyperlink ref="I282" r:id="rId172" display="https://slcm.ui.ac.id/akademik/schedule/room-usage-report" xr:uid="{03F0E112-9711-4290-9961-2996E24B8032}"/>
    <hyperlink ref="I281" r:id="rId173" display="https://slcm.ui.ac.id/akademik/schedule/room-usage-report" xr:uid="{5859C916-9301-4F29-AD17-7A10450148F5}"/>
    <hyperlink ref="I280" r:id="rId174" display="https://slcm.ui.ac.id/akademik/schedule/room-usage-report" xr:uid="{18529D46-CACB-4850-ACD9-E13BA08AFF85}"/>
    <hyperlink ref="I288" r:id="rId175" display="https://slcm.ui.ac.id/akademik/schedule/room-usage-report" xr:uid="{86B9A44B-4BE2-46B2-8137-6D5969FCC6BE}"/>
    <hyperlink ref="I287" r:id="rId176" display="https://slcm.ui.ac.id/akademik/schedule/room-usage-report" xr:uid="{A7B9B55E-7351-4433-AACD-3175E4248FE9}"/>
    <hyperlink ref="I286" r:id="rId177" display="https://slcm.ui.ac.id/akademik/schedule/room-usage-report" xr:uid="{3B8B1D8B-4BD4-4FA5-804E-58C9D74A84BB}"/>
    <hyperlink ref="I285" r:id="rId178" display="https://slcm.ui.ac.id/akademik/schedule/room-usage-report" xr:uid="{80EC0869-2AC6-42F4-80B7-B1C74C9EC96C}"/>
    <hyperlink ref="I284" r:id="rId179" display="https://slcm.ui.ac.id/akademik/schedule/room-usage-report" xr:uid="{9BF300CC-A360-450C-AB34-7B4ED8ACEC40}"/>
    <hyperlink ref="I283" r:id="rId180" display="https://slcm.ui.ac.id/akademik/schedule/room-usage-report" xr:uid="{EF8AC3DF-5B92-455B-80CA-343C7E789846}"/>
    <hyperlink ref="I291" r:id="rId181" display="https://slcm.ui.ac.id/akademik/schedule/room-usage-report" xr:uid="{6E08FC80-C505-4E26-ABD9-D6E7D777006B}"/>
    <hyperlink ref="I290" r:id="rId182" display="https://slcm.ui.ac.id/akademik/schedule/room-usage-report" xr:uid="{15BC4BCE-8434-4F00-901A-1ED92561DDC6}"/>
    <hyperlink ref="I289" r:id="rId183" display="https://slcm.ui.ac.id/akademik/schedule/room-usage-report" xr:uid="{9F72D4A2-6363-4CAA-8892-9B3CDCDA4AD4}"/>
    <hyperlink ref="I256" r:id="rId184" display="https://slcm.ui.ac.id/akademik/schedule/room-usage-report" xr:uid="{6C790F55-3173-436F-B06A-9062DCBD89AB}"/>
    <hyperlink ref="I255" r:id="rId185" display="https://slcm.ui.ac.id/akademik/schedule/room-usage-report" xr:uid="{018D29AA-019A-46F1-8C3B-5DC11B2A00F3}"/>
    <hyperlink ref="I430" r:id="rId186" display="https://slcm.ui.ac.id/akademik/schedule/room-usage-report" xr:uid="{5339B65A-DE0B-4694-8583-55C9A98E09A0}"/>
    <hyperlink ref="I164" r:id="rId187" display="https://slcm.ui.ac.id/akademik/schedule/room-usage-report" xr:uid="{40B54B96-D546-4F9B-B0ED-820AAC787AFB}"/>
    <hyperlink ref="I31" r:id="rId188" display="https://slcm.ui.ac.id/akademik/schedule/room-usage-report" xr:uid="{C28AFE36-F4FB-4A66-A8E6-ED4279634E43}"/>
    <hyperlink ref="I262" r:id="rId189" display="https://slcm.ui.ac.id/akademik/schedule/room-usage-report" xr:uid="{E2356DFA-35AD-436F-A035-DB553904177E}"/>
    <hyperlink ref="I261" r:id="rId190" display="https://slcm.ui.ac.id/akademik/schedule/room-usage-report" xr:uid="{6CA9A4D5-8BB7-4781-8760-600ED9C076C2}"/>
    <hyperlink ref="I260" r:id="rId191" display="https://slcm.ui.ac.id/akademik/schedule/room-usage-report" xr:uid="{7F47775A-4462-46A7-886E-8ACBE2E26BD4}"/>
    <hyperlink ref="I266" r:id="rId192" display="https://slcm.ui.ac.id/akademik/schedule/room-usage-report" xr:uid="{4748DC51-F400-4F52-9460-AE02FAA339CB}"/>
    <hyperlink ref="I265" r:id="rId193" display="https://slcm.ui.ac.id/akademik/schedule/room-usage-report" xr:uid="{37EF2228-93D1-4166-9E22-FCB8DC56AD1A}"/>
    <hyperlink ref="I264" r:id="rId194" display="https://slcm.ui.ac.id/akademik/schedule/room-usage-report" xr:uid="{4D269790-AB3F-4C47-95B2-98A3B294B5FB}"/>
    <hyperlink ref="I263" r:id="rId195" display="https://slcm.ui.ac.id/akademik/schedule/room-usage-report" xr:uid="{E4A95930-232E-4530-B317-3CB0C2EE2212}"/>
    <hyperlink ref="I271" r:id="rId196" display="https://slcm.ui.ac.id/akademik/schedule/room-usage-report" xr:uid="{9CBD1411-BE79-43CF-A1F4-D52E1C949C2B}"/>
    <hyperlink ref="I270" r:id="rId197" display="https://slcm.ui.ac.id/akademik/schedule/room-usage-report" xr:uid="{F6E346A2-BAD8-4295-B450-EC5225B54102}"/>
    <hyperlink ref="I269" r:id="rId198" display="https://slcm.ui.ac.id/akademik/schedule/room-usage-report" xr:uid="{3137F57E-9D74-4151-B3BD-6D214FFF36C0}"/>
    <hyperlink ref="I268" r:id="rId199" display="https://slcm.ui.ac.id/akademik/schedule/room-usage-report" xr:uid="{72C7296D-E0B1-46AF-AB0B-C2DC454E1D29}"/>
    <hyperlink ref="I267" r:id="rId200" display="https://slcm.ui.ac.id/akademik/schedule/room-usage-report" xr:uid="{C0A59252-25F7-4877-B7BD-07995637E10C}"/>
    <hyperlink ref="I239" r:id="rId201" display="https://slcm.ui.ac.id/akademik/schedule/room-usage-report" xr:uid="{74DCC285-1984-4E35-BC26-41B34A9E88A4}"/>
    <hyperlink ref="I238" r:id="rId202" display="https://slcm.ui.ac.id/akademik/schedule/room-usage-report" xr:uid="{419B1D89-A93E-47C3-8542-F9CD889BBD08}"/>
    <hyperlink ref="I419" r:id="rId203" display="https://slcm.ui.ac.id/akademik/schedule/room-usage-report" xr:uid="{A12DAA56-960D-4E01-9A42-BFE26B5FB7A9}"/>
    <hyperlink ref="I418" r:id="rId204" display="https://slcm.ui.ac.id/akademik/schedule/room-usage-report" xr:uid="{4BD92686-665A-46F1-9D03-3D789784D7EB}"/>
    <hyperlink ref="I241" r:id="rId205" display="https://slcm.ui.ac.id/akademik/schedule/room-usage-report" xr:uid="{27CD6FAF-DEAE-4A5A-BD03-CA0176F0447A}"/>
    <hyperlink ref="I30" r:id="rId206" display="https://slcm.ui.ac.id/akademik/schedule/room-usage-report" xr:uid="{56BCFA7D-B786-4467-B77E-4EF7765514F2}"/>
    <hyperlink ref="I245" r:id="rId207" display="https://slcm.ui.ac.id/akademik/schedule/room-usage-report" xr:uid="{EC3C4EED-B61D-402E-8EFC-4CBEF4C283E8}"/>
    <hyperlink ref="I244" r:id="rId208" display="https://slcm.ui.ac.id/akademik/schedule/room-usage-report" xr:uid="{0A73530A-8502-484F-AEF9-336B4838B617}"/>
    <hyperlink ref="I249" r:id="rId209" display="https://slcm.ui.ac.id/akademik/schedule/room-usage-report" xr:uid="{B76E2F06-5722-42A2-A8AE-92A3D00D1CDF}"/>
    <hyperlink ref="I248" r:id="rId210" display="https://slcm.ui.ac.id/akademik/schedule/room-usage-report" xr:uid="{3DBB8722-E115-403A-B575-E81373BE50CB}"/>
    <hyperlink ref="I247" r:id="rId211" display="https://slcm.ui.ac.id/akademik/schedule/room-usage-report" xr:uid="{30D4C0E1-6E1D-4BD0-B4A3-CA62C7A3D93D}"/>
    <hyperlink ref="I246" r:id="rId212" display="https://slcm.ui.ac.id/akademik/schedule/room-usage-report" xr:uid="{1199C4D0-2DC8-407E-B632-ACFAC1B728A8}"/>
    <hyperlink ref="I254" r:id="rId213" display="https://slcm.ui.ac.id/akademik/schedule/room-usage-report" xr:uid="{603AEE95-F142-4A72-AFD9-0B395B79E984}"/>
    <hyperlink ref="I253" r:id="rId214" display="https://slcm.ui.ac.id/akademik/schedule/room-usage-report" xr:uid="{EEAB3592-112A-4DDB-871D-64BF6727BDB0}"/>
    <hyperlink ref="I252" r:id="rId215" display="https://slcm.ui.ac.id/akademik/schedule/room-usage-report" xr:uid="{D4F0E3C0-7A4B-4D2D-9C49-90A9E9F8B262}"/>
    <hyperlink ref="I251" r:id="rId216" display="https://slcm.ui.ac.id/akademik/schedule/room-usage-report" xr:uid="{E636FA62-7319-4EF4-86EA-E8C24B58189C}"/>
    <hyperlink ref="I250" r:id="rId217" display="https://slcm.ui.ac.id/akademik/schedule/room-usage-report" xr:uid="{F2225D4B-CA82-4FE4-BE81-45589326BD00}"/>
    <hyperlink ref="I219" r:id="rId218" display="https://slcm.ui.ac.id/akademik/schedule/room-usage-report" xr:uid="{3C7AD5AA-1EA4-4330-A3ED-8BF42D1565F0}"/>
    <hyperlink ref="I336" r:id="rId219" display="https://slcm.ui.ac.id/akademik/schedule/room-usage-report" xr:uid="{12415BE2-4E88-49AC-A2D1-8DACBE848EC3}"/>
    <hyperlink ref="I335" r:id="rId220" display="https://slcm.ui.ac.id/akademik/schedule/room-usage-report" xr:uid="{425F3CE5-A275-4936-98C2-3B6B1E98F7BC}"/>
    <hyperlink ref="I240" r:id="rId221" display="https://slcm.ui.ac.id/akademik/schedule/room-usage-report" xr:uid="{724BC2FA-43A9-4A2E-92A1-5614E32556CD}"/>
    <hyperlink ref="I81" r:id="rId222" display="https://slcm.ui.ac.id/akademik/schedule/room-usage-report" xr:uid="{EBA830C0-0580-4236-AD0A-702F641594C1}"/>
    <hyperlink ref="I227" r:id="rId223" display="https://slcm.ui.ac.id/akademik/schedule/room-usage-report" xr:uid="{3B8C1825-97FE-4A23-8753-62BC5AB16D3C}"/>
    <hyperlink ref="I226" r:id="rId224" display="https://slcm.ui.ac.id/akademik/schedule/room-usage-report" xr:uid="{F92BD627-8D82-46F8-A042-DB496F63D68C}"/>
    <hyperlink ref="I225" r:id="rId225" display="https://slcm.ui.ac.id/akademik/schedule/room-usage-report" xr:uid="{3EF2411A-6C50-47D0-A6BF-7AEDBAD7B464}"/>
    <hyperlink ref="I224" r:id="rId226" display="https://slcm.ui.ac.id/akademik/schedule/room-usage-report" xr:uid="{38E044D7-8BB3-460E-BCAB-1D789EED8301}"/>
    <hyperlink ref="I232" r:id="rId227" display="https://slcm.ui.ac.id/akademik/schedule/room-usage-report" xr:uid="{D419C1E5-97E1-4065-965D-FE29CF75047C}"/>
    <hyperlink ref="I231" r:id="rId228" display="https://slcm.ui.ac.id/akademik/schedule/room-usage-report" xr:uid="{5AC3BC91-E251-4FD3-A2B8-E0B8EB301D7C}"/>
    <hyperlink ref="I230" r:id="rId229" display="https://slcm.ui.ac.id/akademik/schedule/room-usage-report" xr:uid="{3C5ADB98-5A21-45C2-BB62-2CBB36657224}"/>
    <hyperlink ref="I229" r:id="rId230" display="https://slcm.ui.ac.id/akademik/schedule/room-usage-report" xr:uid="{CC990EC5-0D6E-4D57-9FAA-E6D2ABD04DA8}"/>
    <hyperlink ref="I228" r:id="rId231" display="https://slcm.ui.ac.id/akademik/schedule/room-usage-report" xr:uid="{7E58C977-D4FE-40BC-A178-8AD759E0F3ED}"/>
    <hyperlink ref="I237" r:id="rId232" display="https://slcm.ui.ac.id/akademik/schedule/room-usage-report" xr:uid="{F6650DBB-4D84-4A6A-951C-AB4F6BC3B87F}"/>
    <hyperlink ref="I236" r:id="rId233" display="https://slcm.ui.ac.id/akademik/schedule/room-usage-report" xr:uid="{6DB87D3F-AE51-49E0-8B5D-45878891EB20}"/>
    <hyperlink ref="I235" r:id="rId234" display="https://slcm.ui.ac.id/akademik/schedule/room-usage-report" xr:uid="{09D22087-0531-4C68-B18B-EC02E97C8775}"/>
    <hyperlink ref="I234" r:id="rId235" display="https://slcm.ui.ac.id/akademik/schedule/room-usage-report" xr:uid="{582F154F-4958-4456-9DD3-10E08F43B2D1}"/>
    <hyperlink ref="I233" r:id="rId236" display="https://slcm.ui.ac.id/akademik/schedule/room-usage-report" xr:uid="{6D7BE5AD-AED8-45C2-BE1C-B83FFD1237AA}"/>
    <hyperlink ref="I204" r:id="rId237" display="https://slcm.ui.ac.id/akademik/schedule/room-usage-report" xr:uid="{D1989CAE-809E-48ED-B729-E2E1C3865A41}"/>
    <hyperlink ref="I417" r:id="rId238" display="https://slcm.ui.ac.id/akademik/schedule/room-usage-report" xr:uid="{0D92A9D5-6FE2-4856-A601-A818C2CF0568}"/>
    <hyperlink ref="I405" r:id="rId239" display="https://slcm.ui.ac.id/akademik/schedule/room-usage-report" xr:uid="{43264756-A477-4C9A-8B4C-D2AF5CED8408}"/>
    <hyperlink ref="I223" r:id="rId240" display="https://slcm.ui.ac.id/akademik/schedule/room-usage-report" xr:uid="{33EE441C-FEB9-4325-918B-D8691AD95B98}"/>
    <hyperlink ref="I146" r:id="rId241" display="https://slcm.ui.ac.id/akademik/schedule/room-usage-report" xr:uid="{49D3FD9B-0162-4331-BC30-C7F995611774}"/>
    <hyperlink ref="I212" r:id="rId242" display="https://slcm.ui.ac.id/akademik/schedule/room-usage-report" xr:uid="{D556A020-6FB1-46F2-8535-19C82EA016B6}"/>
    <hyperlink ref="I211" r:id="rId243" display="https://slcm.ui.ac.id/akademik/schedule/room-usage-report" xr:uid="{5223CE07-3706-4083-BFF6-C3FB59DD78C8}"/>
    <hyperlink ref="I210" r:id="rId244" display="https://slcm.ui.ac.id/akademik/schedule/room-usage-report" xr:uid="{75DAF502-6069-42F1-A3A8-3D7FA3B0CBF3}"/>
    <hyperlink ref="I209" r:id="rId245" display="https://slcm.ui.ac.id/akademik/schedule/room-usage-report" xr:uid="{CF69C137-84C4-43B2-A5CF-FB6576635680}"/>
    <hyperlink ref="I214" r:id="rId246" display="https://slcm.ui.ac.id/akademik/schedule/room-usage-report" xr:uid="{7F21AA1A-E988-409D-A366-3F9976BEA3C6}"/>
    <hyperlink ref="I213" r:id="rId247" display="https://slcm.ui.ac.id/akademik/schedule/room-usage-report" xr:uid="{56CFAE12-1883-47F8-906D-2E98CEE43997}"/>
    <hyperlink ref="I218" r:id="rId248" display="https://slcm.ui.ac.id/akademik/schedule/room-usage-report" xr:uid="{1E8EDFCC-2D36-434B-B08B-BD0B5E2AA7F8}"/>
    <hyperlink ref="I217" r:id="rId249" display="https://slcm.ui.ac.id/akademik/schedule/room-usage-report" xr:uid="{C8785651-A754-4914-943D-27B47D39190A}"/>
    <hyperlink ref="I216" r:id="rId250" display="https://slcm.ui.ac.id/akademik/schedule/room-usage-report" xr:uid="{6756B813-C214-487B-BD72-759FBDA6BD6F}"/>
    <hyperlink ref="I215" r:id="rId251" display="https://slcm.ui.ac.id/akademik/schedule/room-usage-report" xr:uid="{71D54255-3513-4AF3-A2FA-610B31074A4E}"/>
    <hyperlink ref="I190" r:id="rId252" display="https://slcm.ui.ac.id/akademik/schedule/room-usage-report" xr:uid="{99446AE7-0976-46E8-93C4-411838E65D62}"/>
    <hyperlink ref="I404" r:id="rId253" display="https://slcm.ui.ac.id/akademik/schedule/room-usage-report" xr:uid="{B9885AC4-3553-4316-967D-09C81677A80D}"/>
    <hyperlink ref="I403" r:id="rId254" display="https://slcm.ui.ac.id/akademik/schedule/room-usage-report" xr:uid="{63242E2A-C460-4424-9B80-849EEEA8FBFF}"/>
    <hyperlink ref="I222" r:id="rId255" display="https://slcm.ui.ac.id/akademik/schedule/room-usage-report" xr:uid="{B7F72D37-52BD-4D45-B4AF-399AD8D8BEDC}"/>
    <hyperlink ref="I145" r:id="rId256" display="https://slcm.ui.ac.id/akademik/schedule/room-usage-report" xr:uid="{9926541B-7B2F-417E-9534-B96C480AF868}"/>
    <hyperlink ref="I197" r:id="rId257" display="https://slcm.ui.ac.id/akademik/schedule/room-usage-report" xr:uid="{1765DAF2-75A7-49EE-AE19-DA157EDF7D25}"/>
    <hyperlink ref="I196" r:id="rId258" display="https://slcm.ui.ac.id/akademik/schedule/room-usage-report" xr:uid="{65C00319-09B4-4D2A-BBEB-D340FA4B520B}"/>
    <hyperlink ref="I195" r:id="rId259" display="https://slcm.ui.ac.id/akademik/schedule/room-usage-report" xr:uid="{7AEBACC0-AD20-4F68-97BF-D2FD09B6010F}"/>
    <hyperlink ref="I199" r:id="rId260" display="https://slcm.ui.ac.id/akademik/schedule/room-usage-report" xr:uid="{4B63E1CD-091C-403F-8878-7CF86EA1D214}"/>
    <hyperlink ref="I198" r:id="rId261" display="https://slcm.ui.ac.id/akademik/schedule/room-usage-report" xr:uid="{4AB8A170-9074-4837-8A33-0E578F34BBC2}"/>
    <hyperlink ref="I203" r:id="rId262" display="https://slcm.ui.ac.id/akademik/schedule/room-usage-report" xr:uid="{CC268161-0434-45F0-9DAB-ED4792751AC4}"/>
    <hyperlink ref="I202" r:id="rId263" display="https://slcm.ui.ac.id/akademik/schedule/room-usage-report" xr:uid="{91CFB450-D245-4105-9DC9-3A676C9C9F83}"/>
    <hyperlink ref="I201" r:id="rId264" display="https://slcm.ui.ac.id/akademik/schedule/room-usage-report" xr:uid="{3B1EE7E6-305B-4D30-86C2-B8858BB7A6A8}"/>
    <hyperlink ref="I200" r:id="rId265" display="https://slcm.ui.ac.id/akademik/schedule/room-usage-report" xr:uid="{37A2F120-4754-4AE4-89B6-A25C58839B9E}"/>
    <hyperlink ref="I180" r:id="rId266" display="https://slcm.ui.ac.id/akademik/schedule/room-usage-report" xr:uid="{F97ADA3F-61F1-44ED-B98C-40FAC0A58844}"/>
    <hyperlink ref="I179" r:id="rId267" display="https://slcm.ui.ac.id/akademik/schedule/room-usage-report" xr:uid="{FE00CF91-25B6-40A6-A5DF-427B073EF2C0}"/>
    <hyperlink ref="I178" r:id="rId268" display="https://slcm.ui.ac.id/akademik/schedule/room-usage-report" xr:uid="{D54D3350-1984-42C2-A78C-6963B26952E1}"/>
    <hyperlink ref="I221" r:id="rId269" display="https://slcm.ui.ac.id/akademik/schedule/room-usage-report" xr:uid="{9DB5FE9B-4EB0-4C6C-AC92-0F8BCB49389E}"/>
    <hyperlink ref="I128" r:id="rId270" display="https://slcm.ui.ac.id/akademik/schedule/room-usage-report" xr:uid="{0909E561-9279-4A8C-BB87-892C9B996160}"/>
    <hyperlink ref="I184" r:id="rId271" display="https://slcm.ui.ac.id/akademik/schedule/room-usage-report" xr:uid="{AFB19E49-CDFA-48D6-9CF3-4A4D85AA2D5B}"/>
    <hyperlink ref="I183" r:id="rId272" display="https://slcm.ui.ac.id/akademik/schedule/room-usage-report" xr:uid="{CB1A1CCB-897C-4C67-B4F6-3E691CCD19D5}"/>
    <hyperlink ref="I186" r:id="rId273" display="https://slcm.ui.ac.id/akademik/schedule/room-usage-report" xr:uid="{220D2366-EB5C-4C9E-B3ED-970FCE6F95E9}"/>
    <hyperlink ref="I185" r:id="rId274" display="https://slcm.ui.ac.id/akademik/schedule/room-usage-report" xr:uid="{29BAF2EC-877C-4271-802A-DD268221F7B5}"/>
    <hyperlink ref="I189" r:id="rId275" display="https://slcm.ui.ac.id/akademik/schedule/room-usage-report" xr:uid="{C4F7260C-5283-463B-BAEC-C7407C4062F1}"/>
    <hyperlink ref="I188" r:id="rId276" display="https://slcm.ui.ac.id/akademik/schedule/room-usage-report" xr:uid="{C4D6ED24-33B5-411C-B866-44A5B7FA866A}"/>
    <hyperlink ref="I187" r:id="rId277" display="https://slcm.ui.ac.id/akademik/schedule/room-usage-report" xr:uid="{8A6EACEA-221C-4620-9FE7-9D67ADBE4C04}"/>
    <hyperlink ref="I159" r:id="rId278" display="https://slcm.ui.ac.id/akademik/schedule/room-usage-report" xr:uid="{C6AD1729-CF84-4C10-8508-A5306BE5B72F}"/>
    <hyperlink ref="I392" r:id="rId279" display="https://slcm.ui.ac.id/akademik/schedule/room-usage-report" xr:uid="{6AB71BAB-441D-4CCE-8995-537E16090AC9}"/>
    <hyperlink ref="I352" r:id="rId280" display="https://slcm.ui.ac.id/akademik/schedule/room-usage-report" xr:uid="{9C43E858-E872-4A3E-B7C4-00E484709A64}"/>
    <hyperlink ref="I276" r:id="rId281" display="https://slcm.ui.ac.id/akademik/schedule/room-usage-report" xr:uid="{8EE4A6D4-D2C2-4E41-8373-70CA53BFF8C2}"/>
    <hyperlink ref="I220" r:id="rId282" display="https://slcm.ui.ac.id/akademik/schedule/room-usage-report" xr:uid="{E5AF7BED-C1B4-4D10-88CE-12AEA158A979}"/>
    <hyperlink ref="I127" r:id="rId283" display="https://slcm.ui.ac.id/akademik/schedule/room-usage-report" xr:uid="{BC24E75E-C8CC-45C9-82BF-E2DB5969D54A}"/>
    <hyperlink ref="I168" r:id="rId284" display="https://slcm.ui.ac.id/akademik/schedule/room-usage-report" xr:uid="{A9D3E700-8698-4754-B55A-4F1510239E71}"/>
    <hyperlink ref="I167" r:id="rId285" display="https://slcm.ui.ac.id/akademik/schedule/room-usage-report" xr:uid="{452702FF-7CF3-4302-B264-F8DD265ADA31}"/>
    <hyperlink ref="I166" r:id="rId286" display="https://slcm.ui.ac.id/akademik/schedule/room-usage-report" xr:uid="{B51203D5-CBE3-44BE-9930-0CA8F3B3B0B3}"/>
    <hyperlink ref="I165" r:id="rId287" display="https://slcm.ui.ac.id/akademik/schedule/room-usage-report" xr:uid="{C9A2BA5E-BDC6-4ADE-B621-E64E24214593}"/>
    <hyperlink ref="I172" r:id="rId288" display="https://slcm.ui.ac.id/akademik/schedule/room-usage-report" xr:uid="{9247839A-3205-436A-BF5B-1AC38C724080}"/>
    <hyperlink ref="I171" r:id="rId289" display="https://slcm.ui.ac.id/akademik/schedule/room-usage-report" xr:uid="{368297B0-6225-4349-8641-DCAE64D6B2CF}"/>
    <hyperlink ref="I170" r:id="rId290" display="https://slcm.ui.ac.id/akademik/schedule/room-usage-report" xr:uid="{B095ED03-08F6-418E-BE0A-3294B7D3897D}"/>
    <hyperlink ref="I169" r:id="rId291" display="https://slcm.ui.ac.id/akademik/schedule/room-usage-report" xr:uid="{D2FAD3BC-BE82-42A0-B68F-05BC4C5CE26D}"/>
    <hyperlink ref="I177" r:id="rId292" display="https://slcm.ui.ac.id/akademik/schedule/room-usage-report" xr:uid="{C8D361D2-C00C-49DC-AD3F-909B11DCF332}"/>
    <hyperlink ref="I176" r:id="rId293" display="https://slcm.ui.ac.id/akademik/schedule/room-usage-report" xr:uid="{A69F7678-DF7C-4DFD-908E-66A39B31697E}"/>
    <hyperlink ref="I175" r:id="rId294" display="https://slcm.ui.ac.id/akademik/schedule/room-usage-report" xr:uid="{D152F6BD-3626-496C-AB93-C6686C7FDF6E}"/>
    <hyperlink ref="I174" r:id="rId295" display="https://slcm.ui.ac.id/akademik/schedule/room-usage-report" xr:uid="{0ADD0A47-1A02-49F4-B99F-E654E4B21828}"/>
    <hyperlink ref="I173" r:id="rId296" display="https://slcm.ui.ac.id/akademik/schedule/room-usage-report" xr:uid="{76856087-12F6-46B0-A67B-1A68C024C763}"/>
    <hyperlink ref="I144" r:id="rId297" display="https://slcm.ui.ac.id/akademik/schedule/room-usage-report" xr:uid="{475C8670-BE1D-4ACB-8F7B-7F8837B61CC4}"/>
    <hyperlink ref="I208" r:id="rId298" display="https://slcm.ui.ac.id/akademik/schedule/room-usage-report" xr:uid="{16922D0F-ED36-444E-9881-9D2FBD70DAC5}"/>
    <hyperlink ref="I126" r:id="rId299" display="https://slcm.ui.ac.id/akademik/schedule/room-usage-report" xr:uid="{478021F0-6360-428A-9944-ED82AC7B49B0}"/>
    <hyperlink ref="I29" r:id="rId300" display="https://slcm.ui.ac.id/akademik/schedule/room-usage-report" xr:uid="{10B098EF-ED26-496F-B3F2-E1BD5984DF3A}"/>
    <hyperlink ref="I151" r:id="rId301" display="https://slcm.ui.ac.id/akademik/schedule/room-usage-report" xr:uid="{FD81A549-4BA3-4398-B04C-F94F3363EB48}"/>
    <hyperlink ref="I150" r:id="rId302" display="https://slcm.ui.ac.id/akademik/schedule/room-usage-report" xr:uid="{589E16A9-688D-4688-815A-7C8E1D0E4434}"/>
    <hyperlink ref="I149" r:id="rId303" display="https://slcm.ui.ac.id/akademik/schedule/room-usage-report" xr:uid="{305D8D27-0721-48A9-9EB0-B1F9F9AE5086}"/>
    <hyperlink ref="I148" r:id="rId304" display="https://slcm.ui.ac.id/akademik/schedule/room-usage-report" xr:uid="{FD309AB5-DC85-4429-AC36-C59E1A7ED0A6}"/>
    <hyperlink ref="I155" r:id="rId305" display="https://slcm.ui.ac.id/akademik/schedule/room-usage-report" xr:uid="{93EC0063-9D9B-4714-A160-D93BF05A18EE}"/>
    <hyperlink ref="I154" r:id="rId306" display="https://slcm.ui.ac.id/akademik/schedule/room-usage-report" xr:uid="{B94BBDDB-BADC-4304-A364-D898B2001660}"/>
    <hyperlink ref="I153" r:id="rId307" display="https://slcm.ui.ac.id/akademik/schedule/room-usage-report" xr:uid="{B523E958-DFF2-4AF3-99E4-B58A0CB36BFF}"/>
    <hyperlink ref="I152" r:id="rId308" display="https://slcm.ui.ac.id/akademik/schedule/room-usage-report" xr:uid="{280CA253-B16D-4825-9CBB-141D6817E026}"/>
    <hyperlink ref="I158" r:id="rId309" display="https://slcm.ui.ac.id/akademik/schedule/room-usage-report" xr:uid="{72F4CC48-0260-4F44-9B1F-8332963F7B26}"/>
    <hyperlink ref="I157" r:id="rId310" display="https://slcm.ui.ac.id/akademik/schedule/room-usage-report" xr:uid="{0E2B034B-AA10-4419-8F3F-BFDE481C4EEB}"/>
    <hyperlink ref="I156" r:id="rId311" display="https://slcm.ui.ac.id/akademik/schedule/room-usage-report" xr:uid="{C4E5068A-67BE-4907-B025-B50E3FB85502}"/>
    <hyperlink ref="I376" r:id="rId312" display="https://slcm.ui.ac.id/akademik/schedule/room-usage-report" xr:uid="{F28FD53A-14B2-40F9-A55C-FEAB77526732}"/>
    <hyperlink ref="I207" r:id="rId313" display="https://slcm.ui.ac.id/akademik/schedule/room-usage-report" xr:uid="{227C5F9A-A945-44EE-B37C-4A245E855CFF}"/>
    <hyperlink ref="I125" r:id="rId314" display="https://slcm.ui.ac.id/akademik/schedule/room-usage-report" xr:uid="{B798D247-DB95-4D09-B982-79794AF77CE9}"/>
    <hyperlink ref="I80" r:id="rId315" display="https://slcm.ui.ac.id/akademik/schedule/room-usage-report" xr:uid="{3A32A4E4-7235-48EB-803F-3D46959337E5}"/>
    <hyperlink ref="I3" r:id="rId316" display="https://slcm.ui.ac.id/akademik/schedule/room-usage-report" xr:uid="{4E25A4BD-556F-4AC8-B0E1-20D101A86084}"/>
    <hyperlink ref="I2" r:id="rId317" display="https://slcm.ui.ac.id/akademik/schedule/room-usage-report" xr:uid="{6681403D-AC7C-46F7-BE03-68A0C7989606}"/>
    <hyperlink ref="I133" r:id="rId318" display="https://slcm.ui.ac.id/akademik/schedule/room-usage-report" xr:uid="{15ED72DB-2E37-46F4-A6E9-414FF4FCFA1D}"/>
    <hyperlink ref="I132" r:id="rId319" display="https://slcm.ui.ac.id/akademik/schedule/room-usage-report" xr:uid="{D3C23C29-C031-4C80-A243-7AAC16FF149C}"/>
    <hyperlink ref="I131" r:id="rId320" display="https://slcm.ui.ac.id/akademik/schedule/room-usage-report" xr:uid="{0595EB3B-D822-4438-B551-A9005CF014E8}"/>
    <hyperlink ref="I130" r:id="rId321" display="https://slcm.ui.ac.id/akademik/schedule/room-usage-report" xr:uid="{F6D70BD4-EC33-4F76-91F5-F94E63763970}"/>
    <hyperlink ref="I129" r:id="rId322" display="https://slcm.ui.ac.id/akademik/schedule/room-usage-report" xr:uid="{13801D7E-78F6-4354-A1F9-FE80652F402C}"/>
    <hyperlink ref="I138" r:id="rId323" display="https://slcm.ui.ac.id/akademik/schedule/room-usage-report" xr:uid="{1C1123DB-7259-4F62-8488-92F2A2FF113A}"/>
    <hyperlink ref="I137" r:id="rId324" display="https://slcm.ui.ac.id/akademik/schedule/room-usage-report" xr:uid="{3A8CE021-74ED-463A-A5B9-B75999586D76}"/>
    <hyperlink ref="I136" r:id="rId325" display="https://slcm.ui.ac.id/akademik/schedule/room-usage-report" xr:uid="{0288EE55-85B6-4DAC-8E83-9D536156FDA5}"/>
    <hyperlink ref="I135" r:id="rId326" display="https://slcm.ui.ac.id/akademik/schedule/room-usage-report" xr:uid="{FA1F5CBA-A43A-4A9D-8F92-5A4E7ECB6C02}"/>
    <hyperlink ref="I134" r:id="rId327" display="https://slcm.ui.ac.id/akademik/schedule/room-usage-report" xr:uid="{48A7BB26-6F1C-47CB-BC86-298ABA48BFC3}"/>
    <hyperlink ref="I143" r:id="rId328" display="https://slcm.ui.ac.id/akademik/schedule/room-usage-report" xr:uid="{BE3DD09C-AFA7-4158-ADA2-A47BBFF77C07}"/>
    <hyperlink ref="I142" r:id="rId329" display="https://slcm.ui.ac.id/akademik/schedule/room-usage-report" xr:uid="{B68E5094-3840-4B1E-B356-CE1AA484EC89}"/>
    <hyperlink ref="I141" r:id="rId330" display="https://slcm.ui.ac.id/akademik/schedule/room-usage-report" xr:uid="{01F7D29A-B155-4269-853F-39B2D896F06B}"/>
    <hyperlink ref="I140" r:id="rId331" display="https://slcm.ui.ac.id/akademik/schedule/room-usage-report" xr:uid="{4E024857-E1C6-4DF3-AB21-FCD75F3ADAFC}"/>
    <hyperlink ref="I139" r:id="rId332" display="https://slcm.ui.ac.id/akademik/schedule/room-usage-report" xr:uid="{363BC9C0-5E7D-4136-8F03-86D2040999C1}"/>
    <hyperlink ref="I106" r:id="rId333" display="https://slcm.ui.ac.id/akademik/schedule/room-usage-report" xr:uid="{16A2D527-0476-4991-B3B1-5D52AE8BE082}"/>
    <hyperlink ref="I351" r:id="rId334" display="https://slcm.ui.ac.id/akademik/schedule/room-usage-report" xr:uid="{1B056D7B-9939-435C-AC24-9FFC2367A108}"/>
    <hyperlink ref="I275" r:id="rId335" display="https://slcm.ui.ac.id/akademik/schedule/room-usage-report" xr:uid="{C427179B-91BE-4010-9B98-4058DE677582}"/>
    <hyperlink ref="I124" r:id="rId336" display="https://slcm.ui.ac.id/akademik/schedule/room-usage-report" xr:uid="{A938D530-CF68-498E-9196-8A0EB91A4A8C}"/>
    <hyperlink ref="I79" r:id="rId337" display="https://slcm.ui.ac.id/akademik/schedule/room-usage-report" xr:uid="{A42BA72E-638D-4A47-BBCC-F2002FC1C39D}"/>
    <hyperlink ref="I114" r:id="rId338" display="https://slcm.ui.ac.id/akademik/schedule/room-usage-report" xr:uid="{E8A4574E-2A71-460E-B8FC-8BE205A94EB7}"/>
    <hyperlink ref="I113" r:id="rId339" display="https://slcm.ui.ac.id/akademik/schedule/room-usage-report" xr:uid="{EEB3F8F0-683A-40A6-870A-05650DBE1CA6}"/>
    <hyperlink ref="I112" r:id="rId340" display="https://slcm.ui.ac.id/akademik/schedule/room-usage-report" xr:uid="{57D98374-C2BF-4C3F-90F2-DC2C8F3CA239}"/>
    <hyperlink ref="I111" r:id="rId341" display="https://slcm.ui.ac.id/akademik/schedule/room-usage-report" xr:uid="{4472E5A0-2D93-4893-8A75-663A48A4FAFE}"/>
    <hyperlink ref="I118" r:id="rId342" display="https://slcm.ui.ac.id/akademik/schedule/room-usage-report" xr:uid="{B8ADB2EB-D2B2-433F-8494-59111F1169E2}"/>
    <hyperlink ref="I117" r:id="rId343" display="https://slcm.ui.ac.id/akademik/schedule/room-usage-report" xr:uid="{A7CDACF5-D66E-4B1A-926B-8CE879AB5A50}"/>
    <hyperlink ref="I116" r:id="rId344" display="https://slcm.ui.ac.id/akademik/schedule/room-usage-report" xr:uid="{802E1E1B-25F1-445D-8E05-792AC2A12368}"/>
    <hyperlink ref="I115" r:id="rId345" display="https://slcm.ui.ac.id/akademik/schedule/room-usage-report" xr:uid="{F900C51A-4988-48B2-833D-46FD2E45F17E}"/>
    <hyperlink ref="I122" r:id="rId346" display="https://slcm.ui.ac.id/akademik/schedule/room-usage-report" xr:uid="{0B2B5BE3-78C4-49D5-845A-78DB3451186D}"/>
    <hyperlink ref="I121" r:id="rId347" display="https://slcm.ui.ac.id/akademik/schedule/room-usage-report" xr:uid="{AA34B50C-BCE7-4756-9935-C83F4C18F13B}"/>
    <hyperlink ref="I120" r:id="rId348" display="https://slcm.ui.ac.id/akademik/schedule/room-usage-report" xr:uid="{086EAB82-0171-470F-80EA-31807497ABEE}"/>
    <hyperlink ref="I119" r:id="rId349" display="https://slcm.ui.ac.id/akademik/schedule/room-usage-report" xr:uid="{8BA989D5-5B7C-46B0-A836-10C19F2C1648}"/>
    <hyperlink ref="I96" r:id="rId350" display="https://slcm.ui.ac.id/akademik/schedule/room-usage-report" xr:uid="{036EA856-FA86-4178-A0EC-49EACE9FCAAB}"/>
    <hyperlink ref="I95" r:id="rId351" display="https://slcm.ui.ac.id/akademik/schedule/room-usage-report" xr:uid="{3AFF3452-94C1-4365-993E-B6AE7FC8092F}"/>
    <hyperlink ref="I94" r:id="rId352" display="https://slcm.ui.ac.id/akademik/schedule/room-usage-report" xr:uid="{2322F0A9-8A35-4A56-A73C-D8C4DB45B48D}"/>
    <hyperlink ref="I296" r:id="rId353" display="https://slcm.ui.ac.id/akademik/schedule/room-usage-report" xr:uid="{614A8A3E-59E5-4F7A-9219-4030A7F3CC0F}"/>
    <hyperlink ref="I123" r:id="rId354" display="https://slcm.ui.ac.id/akademik/schedule/room-usage-report" xr:uid="{A707236C-866D-4D67-8D11-5526EA769155}"/>
    <hyperlink ref="I101" r:id="rId355" display="https://slcm.ui.ac.id/akademik/schedule/room-usage-report" xr:uid="{291AED7E-65A2-4E1B-A89C-7BD67686E45B}"/>
    <hyperlink ref="I100" r:id="rId356" display="https://slcm.ui.ac.id/akademik/schedule/room-usage-report" xr:uid="{0B85216E-4AC1-41B0-8547-AC6E168F7168}"/>
    <hyperlink ref="I99" r:id="rId357" display="https://slcm.ui.ac.id/akademik/schedule/room-usage-report" xr:uid="{EA8C34A4-1979-4BCB-B6ED-3B63919624D9}"/>
    <hyperlink ref="I103" r:id="rId358" display="https://slcm.ui.ac.id/akademik/schedule/room-usage-report" xr:uid="{63F4921D-FF89-463D-8D81-32D6A1435BED}"/>
    <hyperlink ref="I102" r:id="rId359" display="https://slcm.ui.ac.id/akademik/schedule/room-usage-report" xr:uid="{9D8095A9-DE5E-4E46-9F16-E089F6D0EA25}"/>
    <hyperlink ref="I105" r:id="rId360" display="https://slcm.ui.ac.id/akademik/schedule/room-usage-report" xr:uid="{1B1B5950-D12E-418A-B2A8-CA3D3DB67277}"/>
    <hyperlink ref="I104" r:id="rId361" display="https://slcm.ui.ac.id/akademik/schedule/room-usage-report" xr:uid="{382DC205-0F9A-4E22-9B15-6E8B28BEE97F}"/>
    <hyperlink ref="I78" r:id="rId362" display="https://slcm.ui.ac.id/akademik/schedule/room-usage-report" xr:uid="{A0531280-CA9E-452B-84BD-0D68BC106EEE}"/>
    <hyperlink ref="I337" r:id="rId363" display="https://slcm.ui.ac.id/akademik/schedule/room-usage-report" xr:uid="{8887A41C-5E4A-4867-A84F-4BF6BDBCA136}"/>
    <hyperlink ref="I163" r:id="rId364" display="https://slcm.ui.ac.id/akademik/schedule/room-usage-report" xr:uid="{E6861A1F-6C5B-4859-9AB3-DFE7A3DF81FF}"/>
    <hyperlink ref="I66" r:id="rId365" display="https://slcm.ui.ac.id/akademik/schedule/room-usage-report" xr:uid="{DFB9CA4F-F6CD-4506-8A60-4D9A9AC23315}"/>
    <hyperlink ref="I84" r:id="rId366" display="https://slcm.ui.ac.id/akademik/schedule/room-usage-report" xr:uid="{A054E6EF-8DAC-46AB-B81F-96B9B4D0DBF8}"/>
    <hyperlink ref="I83" r:id="rId367" display="https://slcm.ui.ac.id/akademik/schedule/room-usage-report" xr:uid="{7BCD2723-4265-4967-B45F-63662F62F6DA}"/>
    <hyperlink ref="I82" r:id="rId368" display="https://slcm.ui.ac.id/akademik/schedule/room-usage-report" xr:uid="{D64355EA-ACFF-4FC2-B6C8-0A6CFECD7B65}"/>
    <hyperlink ref="I88" r:id="rId369" display="https://slcm.ui.ac.id/akademik/schedule/room-usage-report" xr:uid="{E5A3F441-3CB0-4F01-90C7-1E9084816F3D}"/>
    <hyperlink ref="I87" r:id="rId370" display="https://slcm.ui.ac.id/akademik/schedule/room-usage-report" xr:uid="{F5123222-F0B4-4015-BF3C-E721956AEC25}"/>
    <hyperlink ref="I86" r:id="rId371" display="https://slcm.ui.ac.id/akademik/schedule/room-usage-report" xr:uid="{A6F12389-2ACC-4C32-BE08-292455742B45}"/>
    <hyperlink ref="I85" r:id="rId372" display="https://slcm.ui.ac.id/akademik/schedule/room-usage-report" xr:uid="{DBE23A32-2BBC-4FE3-A7CD-23308D9E03B2}"/>
    <hyperlink ref="I93" r:id="rId373" display="https://slcm.ui.ac.id/akademik/schedule/room-usage-report" xr:uid="{1B3B98F7-9D50-416F-A38A-FB7BCD139BFC}"/>
    <hyperlink ref="I92" r:id="rId374" display="https://slcm.ui.ac.id/akademik/schedule/room-usage-report" xr:uid="{42587F6F-D8FF-4880-8480-F0B9B10F43FA}"/>
    <hyperlink ref="I91" r:id="rId375" display="https://slcm.ui.ac.id/akademik/schedule/room-usage-report" xr:uid="{CC6746CB-4C3E-400F-B6AA-E60A000F6DA9}"/>
    <hyperlink ref="I90" r:id="rId376" display="https://slcm.ui.ac.id/akademik/schedule/room-usage-report" xr:uid="{4C182CD0-B55D-4334-9C7B-5CFD34EE29D8}"/>
    <hyperlink ref="I89" r:id="rId377" display="https://slcm.ui.ac.id/akademik/schedule/room-usage-report" xr:uid="{D6A2F703-E514-4093-86A2-5A5FFA20E63E}"/>
    <hyperlink ref="I62" r:id="rId378" display="https://slcm.ui.ac.id/akademik/schedule/room-usage-report" xr:uid="{E2A719BB-C8C9-41A3-B64C-333CD9D06E16}"/>
    <hyperlink ref="I339" r:id="rId379" display="https://slcm.ui.ac.id/akademik/schedule/room-usage-report" xr:uid="{86B2AC17-BA43-4E2B-8D47-5DDE62699300}"/>
    <hyperlink ref="I259" r:id="rId380" display="https://slcm.ui.ac.id/akademik/schedule/room-usage-report" xr:uid="{C47D9863-C83A-484E-BA36-897E4445FB50}"/>
    <hyperlink ref="I206" r:id="rId381" display="https://slcm.ui.ac.id/akademik/schedule/room-usage-report" xr:uid="{904420EB-9E30-4BBD-89B4-F29D9C0AC6B5}"/>
    <hyperlink ref="I65" r:id="rId382" display="https://slcm.ui.ac.id/akademik/schedule/room-usage-report" xr:uid="{5715A0D4-43B3-42C6-B299-D5E2D1AD3A88}"/>
    <hyperlink ref="I70" r:id="rId383" display="https://slcm.ui.ac.id/akademik/schedule/room-usage-report" xr:uid="{BA4BE6B1-6E00-4E53-B0EC-5D6CE5BAF061}"/>
    <hyperlink ref="I69" r:id="rId384" display="https://slcm.ui.ac.id/akademik/schedule/room-usage-report" xr:uid="{8E8BE066-EF2F-4673-9009-1F01153A5933}"/>
    <hyperlink ref="I68" r:id="rId385" display="https://slcm.ui.ac.id/akademik/schedule/room-usage-report" xr:uid="{D22DB491-ADEC-4978-A651-EAB926381A65}"/>
    <hyperlink ref="I67" r:id="rId386" display="https://slcm.ui.ac.id/akademik/schedule/room-usage-report" xr:uid="{18E3A578-7590-4777-AEDE-1B1474F4132A}"/>
    <hyperlink ref="I74" r:id="rId387" display="https://slcm.ui.ac.id/akademik/schedule/room-usage-report" xr:uid="{AB8E30F7-56D2-4232-95EE-ADF751DF5701}"/>
    <hyperlink ref="I73" r:id="rId388" display="https://slcm.ui.ac.id/akademik/schedule/room-usage-report" xr:uid="{62573522-5DF8-4BD2-8819-103745917A92}"/>
    <hyperlink ref="I72" r:id="rId389" display="https://slcm.ui.ac.id/akademik/schedule/room-usage-report" xr:uid="{B5C06F55-8047-4B06-8773-53F374558A93}"/>
    <hyperlink ref="I71" r:id="rId390" display="https://slcm.ui.ac.id/akademik/schedule/room-usage-report" xr:uid="{CD963EB7-97E8-43B8-918B-D2AA3E147871}"/>
    <hyperlink ref="I77" r:id="rId391" display="https://slcm.ui.ac.id/akademik/schedule/room-usage-report" xr:uid="{DE86B388-598D-4CC4-B0BC-DA7DCC149EE4}"/>
    <hyperlink ref="I76" r:id="rId392" display="https://slcm.ui.ac.id/akademik/schedule/room-usage-report" xr:uid="{48A8FCF0-7A94-474C-BA2B-736257946C0F}"/>
    <hyperlink ref="I75" r:id="rId393" display="https://slcm.ui.ac.id/akademik/schedule/room-usage-report" xr:uid="{80EEB90A-607E-44F8-8B7E-C7620C7E4F11}"/>
    <hyperlink ref="I57" r:id="rId394" display="https://slcm.ui.ac.id/akademik/schedule/room-usage-report" xr:uid="{1C0EB8BE-A354-4412-AB76-BEB8C9276C5E}"/>
    <hyperlink ref="I56" r:id="rId395" display="https://slcm.ui.ac.id/akademik/schedule/room-usage-report" xr:uid="{63922CCC-42D5-464E-9553-5B39C0752626}"/>
    <hyperlink ref="I58" r:id="rId396" display="https://slcm.ui.ac.id/akademik/schedule/room-usage-report" xr:uid="{F85C9658-7F9C-4808-A851-6FB506910E0A}"/>
    <hyperlink ref="I61" r:id="rId397" display="https://slcm.ui.ac.id/akademik/schedule/room-usage-report" xr:uid="{DC8A7363-D236-477D-BB75-4C3D3C381F99}"/>
    <hyperlink ref="I60" r:id="rId398" display="https://slcm.ui.ac.id/akademik/schedule/room-usage-report" xr:uid="{0E228D31-D2E1-4AF1-AAAA-F5E862A83EDD}"/>
    <hyperlink ref="I59" r:id="rId399" display="https://slcm.ui.ac.id/akademik/schedule/room-usage-report" xr:uid="{719DD645-1351-4EAF-B4DE-FCA075332235}"/>
    <hyperlink ref="I48" r:id="rId400" display="https://slcm.ui.ac.id/akademik/schedule/room-usage-report" xr:uid="{992F5A2B-DE2C-418C-A205-4175059B0EDC}"/>
    <hyperlink ref="I47" r:id="rId401" display="https://slcm.ui.ac.id/akademik/schedule/room-usage-report" xr:uid="{66C94AD5-5719-4F17-B9AC-540F42150DC4}"/>
    <hyperlink ref="I46" r:id="rId402" display="https://slcm.ui.ac.id/akademik/schedule/room-usage-report" xr:uid="{9C46B21E-4C65-4FC8-9C1A-F7F312A53287}"/>
    <hyperlink ref="I258" r:id="rId403" display="https://slcm.ui.ac.id/akademik/schedule/room-usage-report" xr:uid="{AAA0A796-EF53-4A4D-8683-A9714E6282EC}"/>
    <hyperlink ref="I50" r:id="rId404" display="https://slcm.ui.ac.id/akademik/schedule/room-usage-report" xr:uid="{07EE0B59-8A54-498F-91C5-F4C1E20988B0}"/>
    <hyperlink ref="I55" r:id="rId405" display="https://slcm.ui.ac.id/akademik/schedule/room-usage-report" xr:uid="{ABCD80CB-93C6-4B38-889D-4EAB4C25690F}"/>
    <hyperlink ref="I54" r:id="rId406" display="https://slcm.ui.ac.id/akademik/schedule/room-usage-report" xr:uid="{5802B523-BE6F-4C3E-B479-78825C770037}"/>
    <hyperlink ref="I53" r:id="rId407" display="https://slcm.ui.ac.id/akademik/schedule/room-usage-report" xr:uid="{A990394C-547A-49F7-8971-75ADB3001415}"/>
    <hyperlink ref="I52" r:id="rId408" display="https://slcm.ui.ac.id/akademik/schedule/room-usage-report" xr:uid="{AB538055-7A87-43B6-857A-1167890AA5BA}"/>
    <hyperlink ref="I51" r:id="rId409" display="https://slcm.ui.ac.id/akademik/schedule/room-usage-report" xr:uid="{929B2C09-D1F0-4F14-B9A6-D35127EA546C}"/>
    <hyperlink ref="I28" r:id="rId410" display="https://slcm.ui.ac.id/akademik/schedule/room-usage-report" xr:uid="{D51C819C-932A-4427-9F25-6000221301AD}"/>
    <hyperlink ref="I394" r:id="rId411" display="https://slcm.ui.ac.id/akademik/schedule/room-usage-report" xr:uid="{F9A0AF7D-0CDC-485B-B6D8-142404DE53EE}"/>
    <hyperlink ref="I257" r:id="rId412" display="https://slcm.ui.ac.id/akademik/schedule/room-usage-report" xr:uid="{53016656-2DDC-48B8-AA35-7AEAFE5BA634}"/>
    <hyperlink ref="I205" r:id="rId413" display="https://slcm.ui.ac.id/akademik/schedule/room-usage-report" xr:uid="{35287349-13E5-4605-8E1B-E5EA895D43CC}"/>
    <hyperlink ref="I110" r:id="rId414" display="https://slcm.ui.ac.id/akademik/schedule/room-usage-report" xr:uid="{DB660AA2-F851-4351-A1F9-74132D480E7F}"/>
    <hyperlink ref="I109" r:id="rId415" display="https://slcm.ui.ac.id/akademik/schedule/room-usage-report" xr:uid="{B6ACAB0F-2718-433A-932F-72F4D5D014E7}"/>
    <hyperlink ref="I17" r:id="rId416" display="https://slcm.ui.ac.id/akademik/schedule/room-usage-report" xr:uid="{674EDBF1-2A84-4455-8D41-F3512B55E957}"/>
    <hyperlink ref="I36" r:id="rId417" display="https://slcm.ui.ac.id/akademik/schedule/room-usage-report" xr:uid="{630D5E49-6388-40E4-A8E4-DDEC173D46D7}"/>
    <hyperlink ref="I35" r:id="rId418" display="https://slcm.ui.ac.id/akademik/schedule/room-usage-report" xr:uid="{5ABDF1DF-B341-4143-8A95-FED5A3EAD888}"/>
    <hyperlink ref="I42" r:id="rId419" display="https://slcm.ui.ac.id/akademik/schedule/room-usage-report" xr:uid="{FB7C56C9-320D-4194-8F27-A8D80C0A9E03}"/>
    <hyperlink ref="I41" r:id="rId420" display="https://slcm.ui.ac.id/akademik/schedule/room-usage-report" xr:uid="{F74A3942-3B4D-4FE2-B5E6-B856C06D1197}"/>
    <hyperlink ref="I40" r:id="rId421" display="https://slcm.ui.ac.id/akademik/schedule/room-usage-report" xr:uid="{45F0D41F-9B1E-4679-A2EF-1969888DE571}"/>
    <hyperlink ref="I39" r:id="rId422" display="https://slcm.ui.ac.id/akademik/schedule/room-usage-report" xr:uid="{CDC6783B-2270-42AF-B294-C1F293B54184}"/>
    <hyperlink ref="I38" r:id="rId423" display="https://slcm.ui.ac.id/akademik/schedule/room-usage-report" xr:uid="{B02180F5-67CF-4548-9FB8-759A4D2133F4}"/>
    <hyperlink ref="I37" r:id="rId424" display="https://slcm.ui.ac.id/akademik/schedule/room-usage-report" xr:uid="{12DC2CBC-17AE-4FD1-A57D-EF13C5A41BDD}"/>
    <hyperlink ref="I45" r:id="rId425" display="https://slcm.ui.ac.id/akademik/schedule/room-usage-report" xr:uid="{A836EFFE-C1EE-4739-A91C-913AAC9116DE}"/>
    <hyperlink ref="I44" r:id="rId426" display="https://slcm.ui.ac.id/akademik/schedule/room-usage-report" xr:uid="{58E91CB9-757A-4E0A-BAC0-F089431D533D}"/>
    <hyperlink ref="I43" r:id="rId427" display="https://slcm.ui.ac.id/akademik/schedule/room-usage-report" xr:uid="{CD2031A1-9CD6-427A-A171-6646DBF65A06}"/>
    <hyperlink ref="I14" r:id="rId428" display="https://slcm.ui.ac.id/akademik/schedule/room-usage-report" xr:uid="{DB790105-020C-4AFC-BAC1-57EB03ED5E1B}"/>
    <hyperlink ref="I354" r:id="rId429" display="https://slcm.ui.ac.id/akademik/schedule/room-usage-report" xr:uid="{9D0806CB-D3C5-432F-A74D-BD7DE5AFB845}"/>
    <hyperlink ref="I162" r:id="rId430" display="https://slcm.ui.ac.id/akademik/schedule/room-usage-report" xr:uid="{0D379BCA-B0F0-4A84-A1C2-46D2AE5B32A8}"/>
    <hyperlink ref="I16" r:id="rId431" display="https://slcm.ui.ac.id/akademik/schedule/room-usage-report" xr:uid="{23CCE95F-E0B0-4EEA-AEBB-AEAD0E47174C}"/>
    <hyperlink ref="I21" r:id="rId432" display="https://slcm.ui.ac.id/akademik/schedule/room-usage-report" xr:uid="{2D13EC31-04A5-4BF9-BD74-E50643666BEC}"/>
    <hyperlink ref="I20" r:id="rId433" display="https://slcm.ui.ac.id/akademik/schedule/room-usage-report" xr:uid="{7A57EA6D-AFF5-4DB3-A52E-A2FD55F93D73}"/>
    <hyperlink ref="I19" r:id="rId434" display="https://slcm.ui.ac.id/akademik/schedule/room-usage-report" xr:uid="{4857BB1A-9E2E-4964-A8BB-C959C7E0FD20}"/>
    <hyperlink ref="I18" r:id="rId435" display="https://slcm.ui.ac.id/akademik/schedule/room-usage-report" xr:uid="{04E681F8-6BA2-4BA4-BD0A-5CCC67E7A02F}"/>
    <hyperlink ref="I24" r:id="rId436" display="https://slcm.ui.ac.id/akademik/schedule/room-usage-report" xr:uid="{B8B6358B-07B1-43A8-9A0A-896BF96B3029}"/>
    <hyperlink ref="I23" r:id="rId437" display="https://slcm.ui.ac.id/akademik/schedule/room-usage-report" xr:uid="{87BAF16C-5799-49E7-856E-D8E86999E237}"/>
    <hyperlink ref="I22" r:id="rId438" display="https://slcm.ui.ac.id/akademik/schedule/room-usage-report" xr:uid="{2A52156A-8C86-4E43-80A5-60D13BDAD1CB}"/>
    <hyperlink ref="I27" r:id="rId439" display="https://slcm.ui.ac.id/akademik/schedule/room-usage-report" xr:uid="{2C72C162-1444-42B4-B174-2B64DE132DAA}"/>
    <hyperlink ref="I26" r:id="rId440" display="https://slcm.ui.ac.id/akademik/schedule/room-usage-report" xr:uid="{0DFCD51F-649B-4DC2-A67A-0198B4B62F13}"/>
    <hyperlink ref="I25" r:id="rId441" display="https://slcm.ui.ac.id/akademik/schedule/room-usage-report" xr:uid="{49BB6A88-35A0-4128-9BCD-EE87BB335139}"/>
    <hyperlink ref="I375" r:id="rId442" display="https://slcm.ui.ac.id/akademik/schedule/room-usage-report" xr:uid="{F2A27E8B-1D69-490F-AAA2-6736A052674F}"/>
    <hyperlink ref="I369" r:id="rId443" display="https://slcm.ui.ac.id/akademik/schedule/room-usage-report" xr:uid="{8A8BA42C-B508-4D4C-A5CB-F301931A8193}"/>
    <hyperlink ref="I108" r:id="rId444" display="https://slcm.ui.ac.id/akademik/schedule/room-usage-report" xr:uid="{5E238228-D11B-47DE-B4CE-AA80D3151891}"/>
    <hyperlink ref="I7" r:id="rId445" display="https://slcm.ui.ac.id/akademik/schedule/room-usage-report" xr:uid="{BEB92F8E-7DD3-4DAF-A1FC-8BDF0411F531}"/>
    <hyperlink ref="I6" r:id="rId446" display="https://slcm.ui.ac.id/akademik/schedule/room-usage-report" xr:uid="{76AFC126-0C8F-4526-B48F-7A23E1A09217}"/>
    <hyperlink ref="I5" r:id="rId447" display="https://slcm.ui.ac.id/akademik/schedule/room-usage-report" xr:uid="{3D8502C0-3413-488C-95CF-7E2B7F23DA5C}"/>
    <hyperlink ref="I8" r:id="rId448" display="https://slcm.ui.ac.id/akademik/schedule/room-usage-report" xr:uid="{C987427E-A43B-4AE7-96E8-A9811E54EE9D}"/>
    <hyperlink ref="I13" r:id="rId449" display="https://slcm.ui.ac.id/akademik/schedule/room-usage-report" xr:uid="{5CE457C4-8536-4DD0-AC32-200165D34361}"/>
    <hyperlink ref="I12" r:id="rId450" display="https://slcm.ui.ac.id/akademik/schedule/room-usage-report" xr:uid="{0789A131-AA31-4125-8C01-C3FF7877B30E}"/>
    <hyperlink ref="I11" r:id="rId451" display="https://slcm.ui.ac.id/akademik/schedule/room-usage-report" xr:uid="{58BEE576-0011-429D-A788-395A78926A2B}"/>
    <hyperlink ref="I10" r:id="rId452" display="https://slcm.ui.ac.id/akademik/schedule/room-usage-report" xr:uid="{AB5D6A06-8F50-4F93-86C1-0894B94F0823}"/>
    <hyperlink ref="I9" r:id="rId453" display="https://slcm.ui.ac.id/akademik/schedule/room-usage-report" xr:uid="{77FE9183-6132-4935-920A-EED9CE67F8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7B021-DBCE-4A41-9EFE-7E1F7BFC47C7}">
  <dimension ref="B1:N113"/>
  <sheetViews>
    <sheetView topLeftCell="A95" workbookViewId="0">
      <selection activeCell="P100" sqref="P100"/>
    </sheetView>
  </sheetViews>
  <sheetFormatPr defaultRowHeight="14.4" x14ac:dyDescent="0.3"/>
  <sheetData>
    <row r="1" spans="2:14" x14ac:dyDescent="0.3">
      <c r="B1" s="8" t="s">
        <v>620</v>
      </c>
      <c r="C1" s="8" t="s">
        <v>621</v>
      </c>
      <c r="D1" s="8" t="s">
        <v>622</v>
      </c>
      <c r="E1" s="8" t="s">
        <v>623</v>
      </c>
      <c r="F1" s="8" t="s">
        <v>624</v>
      </c>
      <c r="G1" s="8" t="s">
        <v>625</v>
      </c>
      <c r="H1" s="8" t="s">
        <v>626</v>
      </c>
      <c r="I1" s="8" t="s">
        <v>627</v>
      </c>
      <c r="J1" s="8" t="s">
        <v>628</v>
      </c>
      <c r="K1" s="8" t="s">
        <v>629</v>
      </c>
      <c r="L1" s="8" t="s">
        <v>632</v>
      </c>
      <c r="M1" s="8" t="s">
        <v>631</v>
      </c>
      <c r="N1" s="8" t="s">
        <v>630</v>
      </c>
    </row>
    <row r="2" spans="2:14" ht="86.4" x14ac:dyDescent="0.3">
      <c r="B2" s="5">
        <v>1</v>
      </c>
      <c r="C2" s="6">
        <v>22303</v>
      </c>
      <c r="D2" s="5">
        <v>66</v>
      </c>
      <c r="E2" s="5">
        <v>12</v>
      </c>
      <c r="F2" s="7" t="s">
        <v>0</v>
      </c>
      <c r="G2" s="7" t="s">
        <v>1</v>
      </c>
      <c r="H2" s="5" t="s">
        <v>2</v>
      </c>
      <c r="I2" s="10" t="s">
        <v>3</v>
      </c>
      <c r="J2" s="7" t="s">
        <v>4</v>
      </c>
      <c r="K2" s="7" t="s">
        <v>5</v>
      </c>
      <c r="L2" s="7"/>
      <c r="M2" s="7"/>
      <c r="N2" s="7" t="s">
        <v>6</v>
      </c>
    </row>
    <row r="3" spans="2:14" ht="86.4" x14ac:dyDescent="0.3">
      <c r="B3" s="5">
        <v>1</v>
      </c>
      <c r="C3" s="6">
        <v>22303</v>
      </c>
      <c r="D3" s="5">
        <v>66</v>
      </c>
      <c r="E3" s="5">
        <v>1</v>
      </c>
      <c r="F3" s="7" t="s">
        <v>7</v>
      </c>
      <c r="G3" s="7" t="s">
        <v>8</v>
      </c>
      <c r="H3" s="5" t="s">
        <v>9</v>
      </c>
      <c r="I3" s="10" t="s">
        <v>10</v>
      </c>
      <c r="J3" s="7" t="s">
        <v>11</v>
      </c>
      <c r="K3" s="7" t="s">
        <v>12</v>
      </c>
      <c r="L3" s="7"/>
      <c r="M3" s="7"/>
      <c r="N3" s="7" t="s">
        <v>13</v>
      </c>
    </row>
    <row r="4" spans="2:14" ht="86.4" x14ac:dyDescent="0.3">
      <c r="B4" s="5">
        <v>1</v>
      </c>
      <c r="C4" s="6">
        <v>22303</v>
      </c>
      <c r="D4" s="5">
        <v>66</v>
      </c>
      <c r="E4" s="5">
        <v>1</v>
      </c>
      <c r="F4" s="7" t="s">
        <v>7</v>
      </c>
      <c r="G4" s="7" t="s">
        <v>8</v>
      </c>
      <c r="H4" s="5" t="s">
        <v>9</v>
      </c>
      <c r="I4" s="10" t="s">
        <v>10</v>
      </c>
      <c r="J4" s="7" t="s">
        <v>14</v>
      </c>
      <c r="K4" s="7" t="s">
        <v>12</v>
      </c>
      <c r="L4" s="7"/>
      <c r="M4" s="7"/>
      <c r="N4" s="7" t="s">
        <v>13</v>
      </c>
    </row>
    <row r="5" spans="2:14" ht="86.4" x14ac:dyDescent="0.3">
      <c r="B5" s="5">
        <v>1</v>
      </c>
      <c r="C5" s="6">
        <v>22303</v>
      </c>
      <c r="D5" s="5">
        <v>66</v>
      </c>
      <c r="E5" s="5">
        <v>5</v>
      </c>
      <c r="F5" s="7" t="s">
        <v>15</v>
      </c>
      <c r="G5" s="7" t="s">
        <v>8</v>
      </c>
      <c r="H5" s="5" t="s">
        <v>16</v>
      </c>
      <c r="I5" s="10" t="s">
        <v>17</v>
      </c>
      <c r="J5" s="7" t="s">
        <v>18</v>
      </c>
      <c r="K5" s="7" t="s">
        <v>19</v>
      </c>
      <c r="L5" s="7"/>
      <c r="M5" s="7"/>
      <c r="N5" s="7" t="s">
        <v>13</v>
      </c>
    </row>
    <row r="6" spans="2:14" ht="57.6" x14ac:dyDescent="0.3">
      <c r="B6" s="5">
        <v>1</v>
      </c>
      <c r="C6" s="6">
        <v>22303</v>
      </c>
      <c r="D6" s="5">
        <v>66</v>
      </c>
      <c r="E6" s="5">
        <v>5</v>
      </c>
      <c r="F6" s="7" t="s">
        <v>15</v>
      </c>
      <c r="G6" s="7" t="s">
        <v>8</v>
      </c>
      <c r="H6" s="5" t="s">
        <v>16</v>
      </c>
      <c r="I6" s="10" t="s">
        <v>17</v>
      </c>
      <c r="J6" s="7" t="s">
        <v>20</v>
      </c>
      <c r="K6" s="7" t="s">
        <v>19</v>
      </c>
      <c r="L6" s="7"/>
      <c r="M6" s="7"/>
      <c r="N6" s="7" t="s">
        <v>13</v>
      </c>
    </row>
    <row r="7" spans="2:14" ht="57.6" x14ac:dyDescent="0.3">
      <c r="B7" s="5">
        <v>1</v>
      </c>
      <c r="C7" s="6">
        <v>22303</v>
      </c>
      <c r="D7" s="5">
        <v>66</v>
      </c>
      <c r="E7" s="5">
        <v>5</v>
      </c>
      <c r="F7" s="7" t="s">
        <v>15</v>
      </c>
      <c r="G7" s="7" t="s">
        <v>8</v>
      </c>
      <c r="H7" s="5" t="s">
        <v>16</v>
      </c>
      <c r="I7" s="10" t="s">
        <v>17</v>
      </c>
      <c r="J7" s="7" t="s">
        <v>20</v>
      </c>
      <c r="K7" s="7" t="s">
        <v>21</v>
      </c>
      <c r="L7" s="7"/>
      <c r="M7" s="7"/>
      <c r="N7" s="7" t="s">
        <v>13</v>
      </c>
    </row>
    <row r="8" spans="2:14" ht="86.4" x14ac:dyDescent="0.3">
      <c r="B8" s="5">
        <v>1</v>
      </c>
      <c r="C8" s="6">
        <v>22303</v>
      </c>
      <c r="D8" s="5">
        <v>66</v>
      </c>
      <c r="E8" s="5">
        <v>5</v>
      </c>
      <c r="F8" s="7" t="s">
        <v>15</v>
      </c>
      <c r="G8" s="7" t="s">
        <v>8</v>
      </c>
      <c r="H8" s="5" t="s">
        <v>16</v>
      </c>
      <c r="I8" s="10" t="s">
        <v>17</v>
      </c>
      <c r="J8" s="7" t="s">
        <v>18</v>
      </c>
      <c r="K8" s="7" t="s">
        <v>21</v>
      </c>
      <c r="L8" s="7"/>
      <c r="M8" s="7"/>
      <c r="N8" s="7" t="s">
        <v>13</v>
      </c>
    </row>
    <row r="9" spans="2:14" ht="86.4" x14ac:dyDescent="0.3">
      <c r="B9" s="5">
        <v>1</v>
      </c>
      <c r="C9" s="6">
        <v>22303</v>
      </c>
      <c r="D9" s="5">
        <v>66</v>
      </c>
      <c r="E9" s="5">
        <v>1</v>
      </c>
      <c r="F9" s="7" t="s">
        <v>7</v>
      </c>
      <c r="G9" s="7" t="s">
        <v>8</v>
      </c>
      <c r="H9" s="5" t="s">
        <v>9</v>
      </c>
      <c r="I9" s="10" t="s">
        <v>10</v>
      </c>
      <c r="J9" s="7" t="s">
        <v>11</v>
      </c>
      <c r="K9" s="7" t="s">
        <v>22</v>
      </c>
      <c r="L9" s="7"/>
      <c r="M9" s="7"/>
      <c r="N9" s="7" t="s">
        <v>13</v>
      </c>
    </row>
    <row r="10" spans="2:14" ht="86.4" x14ac:dyDescent="0.3">
      <c r="B10" s="5">
        <v>1</v>
      </c>
      <c r="C10" s="6">
        <v>22303</v>
      </c>
      <c r="D10" s="5">
        <v>66</v>
      </c>
      <c r="E10" s="5">
        <v>1</v>
      </c>
      <c r="F10" s="7" t="s">
        <v>7</v>
      </c>
      <c r="G10" s="7" t="s">
        <v>8</v>
      </c>
      <c r="H10" s="5" t="s">
        <v>9</v>
      </c>
      <c r="I10" s="10" t="s">
        <v>10</v>
      </c>
      <c r="J10" s="7" t="s">
        <v>14</v>
      </c>
      <c r="K10" s="7" t="s">
        <v>22</v>
      </c>
      <c r="L10" s="7"/>
      <c r="M10" s="7"/>
      <c r="N10" s="7" t="s">
        <v>13</v>
      </c>
    </row>
    <row r="11" spans="2:14" ht="86.4" x14ac:dyDescent="0.3">
      <c r="B11" s="5">
        <v>1</v>
      </c>
      <c r="C11" s="6">
        <v>22303</v>
      </c>
      <c r="D11" s="5">
        <v>66</v>
      </c>
      <c r="E11" s="5">
        <v>5</v>
      </c>
      <c r="F11" s="7" t="s">
        <v>15</v>
      </c>
      <c r="G11" s="7" t="s">
        <v>8</v>
      </c>
      <c r="H11" s="5" t="s">
        <v>16</v>
      </c>
      <c r="I11" s="10" t="s">
        <v>17</v>
      </c>
      <c r="J11" s="7" t="s">
        <v>18</v>
      </c>
      <c r="K11" s="7" t="s">
        <v>23</v>
      </c>
      <c r="L11" s="7"/>
      <c r="M11" s="7"/>
      <c r="N11" s="7" t="s">
        <v>13</v>
      </c>
    </row>
    <row r="12" spans="2:14" ht="57.6" x14ac:dyDescent="0.3">
      <c r="B12" s="5">
        <v>1</v>
      </c>
      <c r="C12" s="6">
        <v>22303</v>
      </c>
      <c r="D12" s="5">
        <v>66</v>
      </c>
      <c r="E12" s="5">
        <v>5</v>
      </c>
      <c r="F12" s="7" t="s">
        <v>15</v>
      </c>
      <c r="G12" s="7" t="s">
        <v>8</v>
      </c>
      <c r="H12" s="5" t="s">
        <v>16</v>
      </c>
      <c r="I12" s="10" t="s">
        <v>17</v>
      </c>
      <c r="J12" s="7" t="s">
        <v>20</v>
      </c>
      <c r="K12" s="7" t="s">
        <v>23</v>
      </c>
      <c r="L12" s="7"/>
      <c r="M12" s="7"/>
      <c r="N12" s="7" t="s">
        <v>13</v>
      </c>
    </row>
    <row r="13" spans="2:14" ht="86.4" x14ac:dyDescent="0.3">
      <c r="B13" s="5">
        <v>1</v>
      </c>
      <c r="C13" s="6">
        <v>22303</v>
      </c>
      <c r="D13" s="5">
        <v>66</v>
      </c>
      <c r="E13" s="5">
        <v>1</v>
      </c>
      <c r="F13" s="7" t="s">
        <v>7</v>
      </c>
      <c r="G13" s="7" t="s">
        <v>8</v>
      </c>
      <c r="H13" s="5" t="s">
        <v>9</v>
      </c>
      <c r="I13" s="10" t="s">
        <v>10</v>
      </c>
      <c r="J13" s="7" t="s">
        <v>11</v>
      </c>
      <c r="K13" s="7" t="s">
        <v>24</v>
      </c>
      <c r="L13" s="7"/>
      <c r="M13" s="7"/>
      <c r="N13" s="7" t="s">
        <v>13</v>
      </c>
    </row>
    <row r="14" spans="2:14" ht="86.4" x14ac:dyDescent="0.3">
      <c r="B14" s="5">
        <v>1</v>
      </c>
      <c r="C14" s="6">
        <v>22303</v>
      </c>
      <c r="D14" s="5">
        <v>66</v>
      </c>
      <c r="E14" s="5">
        <v>1</v>
      </c>
      <c r="F14" s="7" t="s">
        <v>7</v>
      </c>
      <c r="G14" s="7" t="s">
        <v>8</v>
      </c>
      <c r="H14" s="5" t="s">
        <v>9</v>
      </c>
      <c r="I14" s="10" t="s">
        <v>10</v>
      </c>
      <c r="J14" s="7" t="s">
        <v>14</v>
      </c>
      <c r="K14" s="7" t="s">
        <v>24</v>
      </c>
      <c r="L14" s="7"/>
      <c r="M14" s="7"/>
      <c r="N14" s="7" t="s">
        <v>13</v>
      </c>
    </row>
    <row r="15" spans="2:14" ht="86.4" x14ac:dyDescent="0.3">
      <c r="B15" s="2">
        <v>2</v>
      </c>
      <c r="C15" s="3">
        <v>22304</v>
      </c>
      <c r="D15" s="2">
        <v>110</v>
      </c>
      <c r="E15" s="2">
        <v>8</v>
      </c>
      <c r="F15" s="1" t="s">
        <v>25</v>
      </c>
      <c r="G15" s="1" t="s">
        <v>8</v>
      </c>
      <c r="H15" s="2" t="s">
        <v>26</v>
      </c>
      <c r="I15" s="11" t="s">
        <v>27</v>
      </c>
      <c r="J15" s="1" t="s">
        <v>28</v>
      </c>
      <c r="K15" s="1" t="s">
        <v>29</v>
      </c>
      <c r="L15" s="1"/>
      <c r="M15" s="1"/>
      <c r="N15" s="1" t="s">
        <v>13</v>
      </c>
    </row>
    <row r="16" spans="2:14" ht="72" x14ac:dyDescent="0.3">
      <c r="B16" s="2">
        <v>2</v>
      </c>
      <c r="C16" s="3">
        <v>22304</v>
      </c>
      <c r="D16" s="2">
        <v>110</v>
      </c>
      <c r="E16" s="2">
        <v>8</v>
      </c>
      <c r="F16" s="1" t="s">
        <v>25</v>
      </c>
      <c r="G16" s="1" t="s">
        <v>8</v>
      </c>
      <c r="H16" s="2" t="s">
        <v>26</v>
      </c>
      <c r="I16" s="11" t="s">
        <v>27</v>
      </c>
      <c r="J16" s="1" t="s">
        <v>30</v>
      </c>
      <c r="K16" s="1" t="s">
        <v>29</v>
      </c>
      <c r="L16" s="1"/>
      <c r="M16" s="1"/>
      <c r="N16" s="1" t="s">
        <v>13</v>
      </c>
    </row>
    <row r="17" spans="2:14" ht="86.4" x14ac:dyDescent="0.3">
      <c r="B17" s="2">
        <v>2</v>
      </c>
      <c r="C17" s="3">
        <v>22304</v>
      </c>
      <c r="D17" s="2">
        <v>110</v>
      </c>
      <c r="E17" s="2">
        <v>8</v>
      </c>
      <c r="F17" s="1" t="s">
        <v>25</v>
      </c>
      <c r="G17" s="1" t="s">
        <v>8</v>
      </c>
      <c r="H17" s="2" t="s">
        <v>26</v>
      </c>
      <c r="I17" s="11" t="s">
        <v>27</v>
      </c>
      <c r="J17" s="1" t="s">
        <v>4</v>
      </c>
      <c r="K17" s="1" t="s">
        <v>29</v>
      </c>
      <c r="L17" s="1"/>
      <c r="M17" s="1"/>
      <c r="N17" s="1" t="s">
        <v>13</v>
      </c>
    </row>
    <row r="18" spans="2:14" ht="86.4" x14ac:dyDescent="0.3">
      <c r="B18" s="2">
        <v>2</v>
      </c>
      <c r="C18" s="3">
        <v>22304</v>
      </c>
      <c r="D18" s="2">
        <v>110</v>
      </c>
      <c r="E18" s="2">
        <v>8</v>
      </c>
      <c r="F18" s="1" t="s">
        <v>25</v>
      </c>
      <c r="G18" s="1" t="s">
        <v>8</v>
      </c>
      <c r="H18" s="2" t="s">
        <v>26</v>
      </c>
      <c r="I18" s="11" t="s">
        <v>27</v>
      </c>
      <c r="J18" s="1" t="s">
        <v>28</v>
      </c>
      <c r="K18" s="1" t="s">
        <v>31</v>
      </c>
      <c r="L18" s="1"/>
      <c r="M18" s="1"/>
      <c r="N18" s="1" t="s">
        <v>13</v>
      </c>
    </row>
    <row r="19" spans="2:14" ht="72" x14ac:dyDescent="0.3">
      <c r="B19" s="2">
        <v>2</v>
      </c>
      <c r="C19" s="3">
        <v>22304</v>
      </c>
      <c r="D19" s="2">
        <v>110</v>
      </c>
      <c r="E19" s="2">
        <v>8</v>
      </c>
      <c r="F19" s="1" t="s">
        <v>25</v>
      </c>
      <c r="G19" s="1" t="s">
        <v>8</v>
      </c>
      <c r="H19" s="2" t="s">
        <v>26</v>
      </c>
      <c r="I19" s="11" t="s">
        <v>27</v>
      </c>
      <c r="J19" s="1" t="s">
        <v>30</v>
      </c>
      <c r="K19" s="1" t="s">
        <v>31</v>
      </c>
      <c r="L19" s="1"/>
      <c r="M19" s="1"/>
      <c r="N19" s="1" t="s">
        <v>13</v>
      </c>
    </row>
    <row r="20" spans="2:14" ht="86.4" x14ac:dyDescent="0.3">
      <c r="B20" s="2">
        <v>2</v>
      </c>
      <c r="C20" s="3">
        <v>22304</v>
      </c>
      <c r="D20" s="2">
        <v>110</v>
      </c>
      <c r="E20" s="2">
        <v>8</v>
      </c>
      <c r="F20" s="1" t="s">
        <v>25</v>
      </c>
      <c r="G20" s="1" t="s">
        <v>8</v>
      </c>
      <c r="H20" s="2" t="s">
        <v>26</v>
      </c>
      <c r="I20" s="11" t="s">
        <v>27</v>
      </c>
      <c r="J20" s="1" t="s">
        <v>4</v>
      </c>
      <c r="K20" s="1" t="s">
        <v>31</v>
      </c>
      <c r="L20" s="1"/>
      <c r="M20" s="1"/>
      <c r="N20" s="1" t="s">
        <v>13</v>
      </c>
    </row>
    <row r="21" spans="2:14" ht="86.4" x14ac:dyDescent="0.3">
      <c r="B21" s="2">
        <v>2</v>
      </c>
      <c r="C21" s="3">
        <v>22304</v>
      </c>
      <c r="D21" s="2">
        <v>110</v>
      </c>
      <c r="E21" s="2">
        <v>8</v>
      </c>
      <c r="F21" s="1" t="s">
        <v>25</v>
      </c>
      <c r="G21" s="1" t="s">
        <v>8</v>
      </c>
      <c r="H21" s="2" t="s">
        <v>26</v>
      </c>
      <c r="I21" s="11" t="s">
        <v>27</v>
      </c>
      <c r="J21" s="1" t="s">
        <v>28</v>
      </c>
      <c r="K21" s="1" t="s">
        <v>32</v>
      </c>
      <c r="L21" s="1"/>
      <c r="M21" s="1"/>
      <c r="N21" s="1" t="s">
        <v>13</v>
      </c>
    </row>
    <row r="22" spans="2:14" ht="72" x14ac:dyDescent="0.3">
      <c r="B22" s="2">
        <v>2</v>
      </c>
      <c r="C22" s="3">
        <v>22304</v>
      </c>
      <c r="D22" s="2">
        <v>110</v>
      </c>
      <c r="E22" s="2">
        <v>8</v>
      </c>
      <c r="F22" s="1" t="s">
        <v>25</v>
      </c>
      <c r="G22" s="1" t="s">
        <v>8</v>
      </c>
      <c r="H22" s="2" t="s">
        <v>26</v>
      </c>
      <c r="I22" s="11" t="s">
        <v>27</v>
      </c>
      <c r="J22" s="1" t="s">
        <v>30</v>
      </c>
      <c r="K22" s="1" t="s">
        <v>32</v>
      </c>
      <c r="L22" s="1"/>
      <c r="M22" s="1"/>
      <c r="N22" s="1" t="s">
        <v>13</v>
      </c>
    </row>
    <row r="23" spans="2:14" ht="86.4" x14ac:dyDescent="0.3">
      <c r="B23" s="2">
        <v>2</v>
      </c>
      <c r="C23" s="3">
        <v>22304</v>
      </c>
      <c r="D23" s="2">
        <v>110</v>
      </c>
      <c r="E23" s="2">
        <v>8</v>
      </c>
      <c r="F23" s="1" t="s">
        <v>25</v>
      </c>
      <c r="G23" s="1" t="s">
        <v>8</v>
      </c>
      <c r="H23" s="2" t="s">
        <v>26</v>
      </c>
      <c r="I23" s="11" t="s">
        <v>27</v>
      </c>
      <c r="J23" s="1" t="s">
        <v>4</v>
      </c>
      <c r="K23" s="1" t="s">
        <v>32</v>
      </c>
      <c r="L23" s="1"/>
      <c r="M23" s="1"/>
      <c r="N23" s="1" t="s">
        <v>13</v>
      </c>
    </row>
    <row r="24" spans="2:14" ht="86.4" x14ac:dyDescent="0.3">
      <c r="B24" s="5">
        <v>3</v>
      </c>
      <c r="C24" s="6">
        <v>22306</v>
      </c>
      <c r="D24" s="5">
        <v>68</v>
      </c>
      <c r="E24" s="5">
        <v>6</v>
      </c>
      <c r="F24" s="7" t="s">
        <v>33</v>
      </c>
      <c r="G24" s="7" t="s">
        <v>8</v>
      </c>
      <c r="H24" s="5" t="s">
        <v>34</v>
      </c>
      <c r="I24" s="10" t="s">
        <v>35</v>
      </c>
      <c r="J24" s="7" t="s">
        <v>36</v>
      </c>
      <c r="K24" s="7" t="s">
        <v>37</v>
      </c>
      <c r="L24" s="7"/>
      <c r="M24" s="7"/>
      <c r="N24" s="7" t="s">
        <v>13</v>
      </c>
    </row>
    <row r="25" spans="2:14" ht="72" x14ac:dyDescent="0.3">
      <c r="B25" s="5">
        <v>3</v>
      </c>
      <c r="C25" s="6">
        <v>22306</v>
      </c>
      <c r="D25" s="5">
        <v>68</v>
      </c>
      <c r="E25" s="5">
        <v>6</v>
      </c>
      <c r="F25" s="7" t="s">
        <v>33</v>
      </c>
      <c r="G25" s="7" t="s">
        <v>8</v>
      </c>
      <c r="H25" s="5" t="s">
        <v>34</v>
      </c>
      <c r="I25" s="10" t="s">
        <v>35</v>
      </c>
      <c r="J25" s="7" t="s">
        <v>30</v>
      </c>
      <c r="K25" s="7" t="s">
        <v>37</v>
      </c>
      <c r="L25" s="7"/>
      <c r="M25" s="7"/>
      <c r="N25" s="7" t="s">
        <v>13</v>
      </c>
    </row>
    <row r="26" spans="2:14" ht="72" x14ac:dyDescent="0.3">
      <c r="B26" s="5">
        <v>3</v>
      </c>
      <c r="C26" s="6">
        <v>22306</v>
      </c>
      <c r="D26" s="5">
        <v>68</v>
      </c>
      <c r="E26" s="5">
        <v>5</v>
      </c>
      <c r="F26" s="7" t="s">
        <v>38</v>
      </c>
      <c r="G26" s="7" t="s">
        <v>8</v>
      </c>
      <c r="H26" s="5" t="s">
        <v>39</v>
      </c>
      <c r="I26" s="10" t="s">
        <v>40</v>
      </c>
      <c r="J26" s="7" t="s">
        <v>41</v>
      </c>
      <c r="K26" s="7" t="s">
        <v>42</v>
      </c>
      <c r="L26" s="7"/>
      <c r="M26" s="7"/>
      <c r="N26" s="7" t="s">
        <v>13</v>
      </c>
    </row>
    <row r="27" spans="2:14" ht="86.4" x14ac:dyDescent="0.3">
      <c r="B27" s="5">
        <v>3</v>
      </c>
      <c r="C27" s="6">
        <v>22306</v>
      </c>
      <c r="D27" s="5">
        <v>68</v>
      </c>
      <c r="E27" s="5">
        <v>6</v>
      </c>
      <c r="F27" s="7" t="s">
        <v>33</v>
      </c>
      <c r="G27" s="7" t="s">
        <v>8</v>
      </c>
      <c r="H27" s="5" t="s">
        <v>34</v>
      </c>
      <c r="I27" s="10" t="s">
        <v>35</v>
      </c>
      <c r="J27" s="7" t="s">
        <v>36</v>
      </c>
      <c r="K27" s="7" t="s">
        <v>43</v>
      </c>
      <c r="L27" s="7"/>
      <c r="M27" s="7"/>
      <c r="N27" s="7" t="s">
        <v>13</v>
      </c>
    </row>
    <row r="28" spans="2:14" ht="72" x14ac:dyDescent="0.3">
      <c r="B28" s="5">
        <v>3</v>
      </c>
      <c r="C28" s="6">
        <v>22306</v>
      </c>
      <c r="D28" s="5">
        <v>68</v>
      </c>
      <c r="E28" s="5">
        <v>6</v>
      </c>
      <c r="F28" s="7" t="s">
        <v>33</v>
      </c>
      <c r="G28" s="7" t="s">
        <v>8</v>
      </c>
      <c r="H28" s="5" t="s">
        <v>34</v>
      </c>
      <c r="I28" s="10" t="s">
        <v>35</v>
      </c>
      <c r="J28" s="7" t="s">
        <v>30</v>
      </c>
      <c r="K28" s="7" t="s">
        <v>43</v>
      </c>
      <c r="L28" s="7"/>
      <c r="M28" s="7"/>
      <c r="N28" s="7" t="s">
        <v>13</v>
      </c>
    </row>
    <row r="29" spans="2:14" ht="86.4" x14ac:dyDescent="0.3">
      <c r="B29" s="5">
        <v>3</v>
      </c>
      <c r="C29" s="6">
        <v>22306</v>
      </c>
      <c r="D29" s="5">
        <v>68</v>
      </c>
      <c r="E29" s="5">
        <v>6</v>
      </c>
      <c r="F29" s="7" t="s">
        <v>33</v>
      </c>
      <c r="G29" s="7" t="s">
        <v>8</v>
      </c>
      <c r="H29" s="5" t="s">
        <v>34</v>
      </c>
      <c r="I29" s="10" t="s">
        <v>35</v>
      </c>
      <c r="J29" s="7" t="s">
        <v>36</v>
      </c>
      <c r="K29" s="7" t="s">
        <v>44</v>
      </c>
      <c r="L29" s="7"/>
      <c r="M29" s="7"/>
      <c r="N29" s="7" t="s">
        <v>13</v>
      </c>
    </row>
    <row r="30" spans="2:14" ht="72" x14ac:dyDescent="0.3">
      <c r="B30" s="5">
        <v>3</v>
      </c>
      <c r="C30" s="6">
        <v>22306</v>
      </c>
      <c r="D30" s="5">
        <v>68</v>
      </c>
      <c r="E30" s="5">
        <v>6</v>
      </c>
      <c r="F30" s="7" t="s">
        <v>33</v>
      </c>
      <c r="G30" s="7" t="s">
        <v>8</v>
      </c>
      <c r="H30" s="5" t="s">
        <v>34</v>
      </c>
      <c r="I30" s="10" t="s">
        <v>35</v>
      </c>
      <c r="J30" s="7" t="s">
        <v>30</v>
      </c>
      <c r="K30" s="7" t="s">
        <v>44</v>
      </c>
      <c r="L30" s="7"/>
      <c r="M30" s="7"/>
      <c r="N30" s="7" t="s">
        <v>13</v>
      </c>
    </row>
    <row r="31" spans="2:14" ht="72" x14ac:dyDescent="0.3">
      <c r="B31" s="5">
        <v>3</v>
      </c>
      <c r="C31" s="6">
        <v>22306</v>
      </c>
      <c r="D31" s="5">
        <v>68</v>
      </c>
      <c r="E31" s="5">
        <v>5</v>
      </c>
      <c r="F31" s="7" t="s">
        <v>38</v>
      </c>
      <c r="G31" s="7" t="s">
        <v>8</v>
      </c>
      <c r="H31" s="5" t="s">
        <v>39</v>
      </c>
      <c r="I31" s="10" t="s">
        <v>40</v>
      </c>
      <c r="J31" s="7" t="s">
        <v>41</v>
      </c>
      <c r="K31" s="7" t="s">
        <v>45</v>
      </c>
      <c r="L31" s="7"/>
      <c r="M31" s="7"/>
      <c r="N31" s="7" t="s">
        <v>13</v>
      </c>
    </row>
    <row r="32" spans="2:14" ht="72" x14ac:dyDescent="0.3">
      <c r="B32" s="5">
        <v>3</v>
      </c>
      <c r="C32" s="6">
        <v>22306</v>
      </c>
      <c r="D32" s="5">
        <v>68</v>
      </c>
      <c r="E32" s="5">
        <v>5</v>
      </c>
      <c r="F32" s="7" t="s">
        <v>38</v>
      </c>
      <c r="G32" s="7" t="s">
        <v>8</v>
      </c>
      <c r="H32" s="5" t="s">
        <v>39</v>
      </c>
      <c r="I32" s="10" t="s">
        <v>40</v>
      </c>
      <c r="J32" s="7" t="s">
        <v>41</v>
      </c>
      <c r="K32" s="7" t="s">
        <v>46</v>
      </c>
      <c r="L32" s="7"/>
      <c r="M32" s="7"/>
      <c r="N32" s="7" t="s">
        <v>13</v>
      </c>
    </row>
    <row r="33" spans="2:14" ht="72" x14ac:dyDescent="0.3">
      <c r="B33" s="2">
        <v>4</v>
      </c>
      <c r="C33" s="3">
        <v>22307</v>
      </c>
      <c r="D33" s="2">
        <v>68</v>
      </c>
      <c r="E33" s="2">
        <v>0</v>
      </c>
      <c r="F33" s="1" t="s">
        <v>47</v>
      </c>
      <c r="G33" s="1" t="s">
        <v>8</v>
      </c>
      <c r="H33" s="2" t="s">
        <v>48</v>
      </c>
      <c r="I33" s="11" t="s">
        <v>49</v>
      </c>
      <c r="J33" s="1" t="s">
        <v>50</v>
      </c>
      <c r="K33" s="1" t="s">
        <v>19</v>
      </c>
      <c r="L33" s="1"/>
      <c r="M33" s="1"/>
      <c r="N33" s="1" t="s">
        <v>13</v>
      </c>
    </row>
    <row r="34" spans="2:14" ht="72" x14ac:dyDescent="0.3">
      <c r="B34" s="2">
        <v>4</v>
      </c>
      <c r="C34" s="3">
        <v>22307</v>
      </c>
      <c r="D34" s="2">
        <v>68</v>
      </c>
      <c r="E34" s="2">
        <v>0</v>
      </c>
      <c r="F34" s="1" t="s">
        <v>47</v>
      </c>
      <c r="G34" s="1" t="s">
        <v>8</v>
      </c>
      <c r="H34" s="2" t="s">
        <v>48</v>
      </c>
      <c r="I34" s="11" t="s">
        <v>49</v>
      </c>
      <c r="J34" s="1" t="s">
        <v>51</v>
      </c>
      <c r="K34" s="1" t="s">
        <v>19</v>
      </c>
      <c r="L34" s="1"/>
      <c r="M34" s="1"/>
      <c r="N34" s="1" t="s">
        <v>13</v>
      </c>
    </row>
    <row r="35" spans="2:14" ht="72" x14ac:dyDescent="0.3">
      <c r="B35" s="2">
        <v>4</v>
      </c>
      <c r="C35" s="3">
        <v>22307</v>
      </c>
      <c r="D35" s="2">
        <v>68</v>
      </c>
      <c r="E35" s="2">
        <v>0</v>
      </c>
      <c r="F35" s="1" t="s">
        <v>47</v>
      </c>
      <c r="G35" s="1" t="s">
        <v>8</v>
      </c>
      <c r="H35" s="2" t="s">
        <v>48</v>
      </c>
      <c r="I35" s="11" t="s">
        <v>49</v>
      </c>
      <c r="J35" s="1" t="s">
        <v>50</v>
      </c>
      <c r="K35" s="1" t="s">
        <v>21</v>
      </c>
      <c r="L35" s="1"/>
      <c r="M35" s="1"/>
      <c r="N35" s="1" t="s">
        <v>13</v>
      </c>
    </row>
    <row r="36" spans="2:14" ht="72" x14ac:dyDescent="0.3">
      <c r="B36" s="2">
        <v>4</v>
      </c>
      <c r="C36" s="3">
        <v>22307</v>
      </c>
      <c r="D36" s="2">
        <v>68</v>
      </c>
      <c r="E36" s="2">
        <v>0</v>
      </c>
      <c r="F36" s="1" t="s">
        <v>47</v>
      </c>
      <c r="G36" s="1" t="s">
        <v>8</v>
      </c>
      <c r="H36" s="2" t="s">
        <v>48</v>
      </c>
      <c r="I36" s="11" t="s">
        <v>49</v>
      </c>
      <c r="J36" s="1" t="s">
        <v>51</v>
      </c>
      <c r="K36" s="1" t="s">
        <v>21</v>
      </c>
      <c r="L36" s="1"/>
      <c r="M36" s="1"/>
      <c r="N36" s="1" t="s">
        <v>13</v>
      </c>
    </row>
    <row r="37" spans="2:14" ht="86.4" x14ac:dyDescent="0.3">
      <c r="B37" s="2">
        <v>4</v>
      </c>
      <c r="C37" s="3">
        <v>22307</v>
      </c>
      <c r="D37" s="2">
        <v>68</v>
      </c>
      <c r="E37" s="2">
        <v>3</v>
      </c>
      <c r="F37" s="1" t="s">
        <v>52</v>
      </c>
      <c r="G37" s="1" t="s">
        <v>8</v>
      </c>
      <c r="H37" s="2" t="s">
        <v>53</v>
      </c>
      <c r="I37" s="11" t="s">
        <v>54</v>
      </c>
      <c r="J37" s="1" t="s">
        <v>55</v>
      </c>
      <c r="K37" s="1" t="s">
        <v>42</v>
      </c>
      <c r="L37" s="1"/>
      <c r="M37" s="1"/>
      <c r="N37" s="1" t="s">
        <v>13</v>
      </c>
    </row>
    <row r="38" spans="2:14" ht="72" x14ac:dyDescent="0.3">
      <c r="B38" s="2">
        <v>4</v>
      </c>
      <c r="C38" s="3">
        <v>22307</v>
      </c>
      <c r="D38" s="2">
        <v>68</v>
      </c>
      <c r="E38" s="2">
        <v>3</v>
      </c>
      <c r="F38" s="1" t="s">
        <v>52</v>
      </c>
      <c r="G38" s="1" t="s">
        <v>8</v>
      </c>
      <c r="H38" s="2" t="s">
        <v>53</v>
      </c>
      <c r="I38" s="11" t="s">
        <v>54</v>
      </c>
      <c r="J38" s="1" t="s">
        <v>56</v>
      </c>
      <c r="K38" s="1" t="s">
        <v>42</v>
      </c>
      <c r="L38" s="1"/>
      <c r="M38" s="1"/>
      <c r="N38" s="1" t="s">
        <v>13</v>
      </c>
    </row>
    <row r="39" spans="2:14" ht="86.4" x14ac:dyDescent="0.3">
      <c r="B39" s="2">
        <v>4</v>
      </c>
      <c r="C39" s="3">
        <v>22307</v>
      </c>
      <c r="D39" s="2">
        <v>68</v>
      </c>
      <c r="E39" s="2">
        <v>3</v>
      </c>
      <c r="F39" s="1" t="s">
        <v>57</v>
      </c>
      <c r="G39" s="1" t="s">
        <v>8</v>
      </c>
      <c r="H39" s="2" t="s">
        <v>58</v>
      </c>
      <c r="I39" s="11" t="s">
        <v>59</v>
      </c>
      <c r="J39" s="1" t="s">
        <v>60</v>
      </c>
      <c r="K39" s="1" t="s">
        <v>23</v>
      </c>
      <c r="L39" s="1"/>
      <c r="M39" s="1"/>
      <c r="N39" s="1" t="s">
        <v>13</v>
      </c>
    </row>
    <row r="40" spans="2:14" ht="100.8" x14ac:dyDescent="0.3">
      <c r="B40" s="2">
        <v>4</v>
      </c>
      <c r="C40" s="3">
        <v>22307</v>
      </c>
      <c r="D40" s="2">
        <v>68</v>
      </c>
      <c r="E40" s="2">
        <v>3</v>
      </c>
      <c r="F40" s="1" t="s">
        <v>57</v>
      </c>
      <c r="G40" s="1" t="s">
        <v>8</v>
      </c>
      <c r="H40" s="2" t="s">
        <v>58</v>
      </c>
      <c r="I40" s="11" t="s">
        <v>59</v>
      </c>
      <c r="J40" s="1" t="s">
        <v>61</v>
      </c>
      <c r="K40" s="1" t="s">
        <v>23</v>
      </c>
      <c r="L40" s="1"/>
      <c r="M40" s="1"/>
      <c r="N40" s="1" t="s">
        <v>13</v>
      </c>
    </row>
    <row r="41" spans="2:14" ht="72" x14ac:dyDescent="0.3">
      <c r="B41" s="2">
        <v>4</v>
      </c>
      <c r="C41" s="3">
        <v>22307</v>
      </c>
      <c r="D41" s="2">
        <v>68</v>
      </c>
      <c r="E41" s="2">
        <v>0</v>
      </c>
      <c r="F41" s="1" t="s">
        <v>47</v>
      </c>
      <c r="G41" s="1" t="s">
        <v>8</v>
      </c>
      <c r="H41" s="2" t="s">
        <v>48</v>
      </c>
      <c r="I41" s="11" t="s">
        <v>49</v>
      </c>
      <c r="J41" s="1" t="s">
        <v>51</v>
      </c>
      <c r="K41" s="1" t="s">
        <v>44</v>
      </c>
      <c r="L41" s="1"/>
      <c r="M41" s="1"/>
      <c r="N41" s="1" t="s">
        <v>13</v>
      </c>
    </row>
    <row r="42" spans="2:14" ht="72" x14ac:dyDescent="0.3">
      <c r="B42" s="2">
        <v>4</v>
      </c>
      <c r="C42" s="3">
        <v>22307</v>
      </c>
      <c r="D42" s="2">
        <v>68</v>
      </c>
      <c r="E42" s="2">
        <v>0</v>
      </c>
      <c r="F42" s="1" t="s">
        <v>47</v>
      </c>
      <c r="G42" s="1" t="s">
        <v>8</v>
      </c>
      <c r="H42" s="2" t="s">
        <v>48</v>
      </c>
      <c r="I42" s="11" t="s">
        <v>49</v>
      </c>
      <c r="J42" s="1" t="s">
        <v>50</v>
      </c>
      <c r="K42" s="1" t="s">
        <v>44</v>
      </c>
      <c r="L42" s="1"/>
      <c r="M42" s="1"/>
      <c r="N42" s="1" t="s">
        <v>13</v>
      </c>
    </row>
    <row r="43" spans="2:14" ht="72" x14ac:dyDescent="0.3">
      <c r="B43" s="2">
        <v>4</v>
      </c>
      <c r="C43" s="3">
        <v>22307</v>
      </c>
      <c r="D43" s="2">
        <v>68</v>
      </c>
      <c r="E43" s="2">
        <v>3</v>
      </c>
      <c r="F43" s="1" t="s">
        <v>52</v>
      </c>
      <c r="G43" s="1" t="s">
        <v>8</v>
      </c>
      <c r="H43" s="2" t="s">
        <v>53</v>
      </c>
      <c r="I43" s="11" t="s">
        <v>54</v>
      </c>
      <c r="J43" s="1" t="s">
        <v>56</v>
      </c>
      <c r="K43" s="1" t="s">
        <v>45</v>
      </c>
      <c r="L43" s="1"/>
      <c r="M43" s="1"/>
      <c r="N43" s="1" t="s">
        <v>13</v>
      </c>
    </row>
    <row r="44" spans="2:14" ht="86.4" x14ac:dyDescent="0.3">
      <c r="B44" s="2">
        <v>4</v>
      </c>
      <c r="C44" s="3">
        <v>22307</v>
      </c>
      <c r="D44" s="2">
        <v>68</v>
      </c>
      <c r="E44" s="2">
        <v>3</v>
      </c>
      <c r="F44" s="1" t="s">
        <v>52</v>
      </c>
      <c r="G44" s="1" t="s">
        <v>8</v>
      </c>
      <c r="H44" s="2" t="s">
        <v>53</v>
      </c>
      <c r="I44" s="11" t="s">
        <v>54</v>
      </c>
      <c r="J44" s="1" t="s">
        <v>55</v>
      </c>
      <c r="K44" s="1" t="s">
        <v>45</v>
      </c>
      <c r="L44" s="1"/>
      <c r="M44" s="1"/>
      <c r="N44" s="1" t="s">
        <v>13</v>
      </c>
    </row>
    <row r="45" spans="2:14" ht="100.8" x14ac:dyDescent="0.3">
      <c r="B45" s="2">
        <v>4</v>
      </c>
      <c r="C45" s="3">
        <v>22307</v>
      </c>
      <c r="D45" s="2">
        <v>68</v>
      </c>
      <c r="E45" s="2">
        <v>3</v>
      </c>
      <c r="F45" s="1" t="s">
        <v>57</v>
      </c>
      <c r="G45" s="1" t="s">
        <v>8</v>
      </c>
      <c r="H45" s="2" t="s">
        <v>58</v>
      </c>
      <c r="I45" s="11" t="s">
        <v>59</v>
      </c>
      <c r="J45" s="1" t="s">
        <v>61</v>
      </c>
      <c r="K45" s="1" t="s">
        <v>62</v>
      </c>
      <c r="L45" s="1"/>
      <c r="M45" s="1"/>
      <c r="N45" s="1" t="s">
        <v>13</v>
      </c>
    </row>
    <row r="46" spans="2:14" ht="86.4" x14ac:dyDescent="0.3">
      <c r="B46" s="2">
        <v>4</v>
      </c>
      <c r="C46" s="3">
        <v>22307</v>
      </c>
      <c r="D46" s="2">
        <v>68</v>
      </c>
      <c r="E46" s="2">
        <v>3</v>
      </c>
      <c r="F46" s="1" t="s">
        <v>57</v>
      </c>
      <c r="G46" s="1" t="s">
        <v>8</v>
      </c>
      <c r="H46" s="2" t="s">
        <v>58</v>
      </c>
      <c r="I46" s="11" t="s">
        <v>59</v>
      </c>
      <c r="J46" s="1" t="s">
        <v>60</v>
      </c>
      <c r="K46" s="1" t="s">
        <v>62</v>
      </c>
      <c r="L46" s="1"/>
      <c r="M46" s="1"/>
      <c r="N46" s="1" t="s">
        <v>13</v>
      </c>
    </row>
    <row r="47" spans="2:14" ht="86.4" x14ac:dyDescent="0.3">
      <c r="B47" s="2">
        <v>4</v>
      </c>
      <c r="C47" s="3">
        <v>22307</v>
      </c>
      <c r="D47" s="2">
        <v>68</v>
      </c>
      <c r="E47" s="2">
        <v>3</v>
      </c>
      <c r="F47" s="1" t="s">
        <v>52</v>
      </c>
      <c r="G47" s="1" t="s">
        <v>8</v>
      </c>
      <c r="H47" s="2" t="s">
        <v>53</v>
      </c>
      <c r="I47" s="11" t="s">
        <v>54</v>
      </c>
      <c r="J47" s="1" t="s">
        <v>55</v>
      </c>
      <c r="K47" s="1" t="s">
        <v>46</v>
      </c>
      <c r="L47" s="1"/>
      <c r="M47" s="1"/>
      <c r="N47" s="1" t="s">
        <v>13</v>
      </c>
    </row>
    <row r="48" spans="2:14" ht="72" x14ac:dyDescent="0.3">
      <c r="B48" s="2">
        <v>4</v>
      </c>
      <c r="C48" s="3">
        <v>22307</v>
      </c>
      <c r="D48" s="2">
        <v>68</v>
      </c>
      <c r="E48" s="2">
        <v>3</v>
      </c>
      <c r="F48" s="1" t="s">
        <v>52</v>
      </c>
      <c r="G48" s="1" t="s">
        <v>8</v>
      </c>
      <c r="H48" s="2" t="s">
        <v>53</v>
      </c>
      <c r="I48" s="11" t="s">
        <v>54</v>
      </c>
      <c r="J48" s="1" t="s">
        <v>56</v>
      </c>
      <c r="K48" s="1" t="s">
        <v>46</v>
      </c>
      <c r="L48" s="1"/>
      <c r="M48" s="1"/>
      <c r="N48" s="1" t="s">
        <v>13</v>
      </c>
    </row>
    <row r="49" spans="2:14" ht="100.8" x14ac:dyDescent="0.3">
      <c r="B49" s="2">
        <v>4</v>
      </c>
      <c r="C49" s="3">
        <v>22307</v>
      </c>
      <c r="D49" s="2">
        <v>68</v>
      </c>
      <c r="E49" s="2">
        <v>3</v>
      </c>
      <c r="F49" s="1" t="s">
        <v>57</v>
      </c>
      <c r="G49" s="1" t="s">
        <v>8</v>
      </c>
      <c r="H49" s="2" t="s">
        <v>58</v>
      </c>
      <c r="I49" s="11" t="s">
        <v>59</v>
      </c>
      <c r="J49" s="1" t="s">
        <v>61</v>
      </c>
      <c r="K49" s="1" t="s">
        <v>63</v>
      </c>
      <c r="L49" s="1"/>
      <c r="M49" s="1"/>
      <c r="N49" s="1" t="s">
        <v>13</v>
      </c>
    </row>
    <row r="50" spans="2:14" ht="86.4" x14ac:dyDescent="0.3">
      <c r="B50" s="2">
        <v>4</v>
      </c>
      <c r="C50" s="3">
        <v>22307</v>
      </c>
      <c r="D50" s="2">
        <v>68</v>
      </c>
      <c r="E50" s="2">
        <v>3</v>
      </c>
      <c r="F50" s="1" t="s">
        <v>57</v>
      </c>
      <c r="G50" s="1" t="s">
        <v>8</v>
      </c>
      <c r="H50" s="2" t="s">
        <v>58</v>
      </c>
      <c r="I50" s="11" t="s">
        <v>59</v>
      </c>
      <c r="J50" s="1" t="s">
        <v>60</v>
      </c>
      <c r="K50" s="1" t="s">
        <v>63</v>
      </c>
      <c r="L50" s="1"/>
      <c r="M50" s="1"/>
      <c r="N50" s="1" t="s">
        <v>13</v>
      </c>
    </row>
    <row r="51" spans="2:14" ht="72" x14ac:dyDescent="0.3">
      <c r="B51" s="5">
        <v>5</v>
      </c>
      <c r="C51" s="5" t="s">
        <v>64</v>
      </c>
      <c r="D51" s="5">
        <v>50</v>
      </c>
      <c r="E51" s="5">
        <v>23</v>
      </c>
      <c r="F51" s="7" t="s">
        <v>65</v>
      </c>
      <c r="G51" s="7" t="s">
        <v>66</v>
      </c>
      <c r="H51" s="5" t="s">
        <v>67</v>
      </c>
      <c r="I51" s="10" t="s">
        <v>68</v>
      </c>
      <c r="J51" s="7" t="s">
        <v>69</v>
      </c>
      <c r="K51" s="7" t="s">
        <v>70</v>
      </c>
      <c r="L51" s="7"/>
      <c r="M51" s="7"/>
      <c r="N51" s="7" t="s">
        <v>71</v>
      </c>
    </row>
    <row r="52" spans="2:14" ht="57.6" x14ac:dyDescent="0.3">
      <c r="B52" s="5">
        <v>5</v>
      </c>
      <c r="C52" s="5" t="s">
        <v>64</v>
      </c>
      <c r="D52" s="5">
        <v>50</v>
      </c>
      <c r="E52" s="5">
        <v>19</v>
      </c>
      <c r="F52" s="7" t="s">
        <v>72</v>
      </c>
      <c r="G52" s="7" t="s">
        <v>66</v>
      </c>
      <c r="H52" s="5" t="s">
        <v>73</v>
      </c>
      <c r="I52" s="10" t="s">
        <v>74</v>
      </c>
      <c r="J52" s="7" t="s">
        <v>75</v>
      </c>
      <c r="K52" s="7" t="s">
        <v>76</v>
      </c>
      <c r="L52" s="7"/>
      <c r="M52" s="7"/>
      <c r="N52" s="7" t="s">
        <v>71</v>
      </c>
    </row>
    <row r="53" spans="2:14" ht="86.4" x14ac:dyDescent="0.3">
      <c r="B53" s="5">
        <v>5</v>
      </c>
      <c r="C53" s="5" t="s">
        <v>64</v>
      </c>
      <c r="D53" s="5">
        <v>50</v>
      </c>
      <c r="E53" s="5">
        <v>19</v>
      </c>
      <c r="F53" s="7" t="s">
        <v>72</v>
      </c>
      <c r="G53" s="7" t="s">
        <v>66</v>
      </c>
      <c r="H53" s="5" t="s">
        <v>73</v>
      </c>
      <c r="I53" s="10" t="s">
        <v>74</v>
      </c>
      <c r="J53" s="7" t="s">
        <v>77</v>
      </c>
      <c r="K53" s="7" t="s">
        <v>76</v>
      </c>
      <c r="L53" s="7"/>
      <c r="M53" s="7"/>
      <c r="N53" s="7" t="s">
        <v>71</v>
      </c>
    </row>
    <row r="54" spans="2:14" ht="57.6" x14ac:dyDescent="0.3">
      <c r="B54" s="5">
        <v>5</v>
      </c>
      <c r="C54" s="5" t="s">
        <v>64</v>
      </c>
      <c r="D54" s="5">
        <v>50</v>
      </c>
      <c r="E54" s="5">
        <v>23</v>
      </c>
      <c r="F54" s="7" t="s">
        <v>78</v>
      </c>
      <c r="G54" s="7" t="s">
        <v>66</v>
      </c>
      <c r="H54" s="5" t="s">
        <v>79</v>
      </c>
      <c r="I54" s="10" t="s">
        <v>80</v>
      </c>
      <c r="J54" s="7" t="s">
        <v>75</v>
      </c>
      <c r="K54" s="7" t="s">
        <v>81</v>
      </c>
      <c r="L54" s="7"/>
      <c r="M54" s="7"/>
      <c r="N54" s="7" t="s">
        <v>71</v>
      </c>
    </row>
    <row r="55" spans="2:14" ht="86.4" x14ac:dyDescent="0.3">
      <c r="B55" s="5">
        <v>5</v>
      </c>
      <c r="C55" s="5" t="s">
        <v>64</v>
      </c>
      <c r="D55" s="5">
        <v>50</v>
      </c>
      <c r="E55" s="5">
        <v>19</v>
      </c>
      <c r="F55" s="7" t="s">
        <v>82</v>
      </c>
      <c r="G55" s="7" t="s">
        <v>66</v>
      </c>
      <c r="H55" s="5" t="s">
        <v>83</v>
      </c>
      <c r="I55" s="10" t="s">
        <v>84</v>
      </c>
      <c r="J55" s="7" t="s">
        <v>11</v>
      </c>
      <c r="K55" s="7" t="s">
        <v>85</v>
      </c>
      <c r="L55" s="7"/>
      <c r="M55" s="7"/>
      <c r="N55" s="7" t="s">
        <v>71</v>
      </c>
    </row>
    <row r="56" spans="2:14" ht="72" x14ac:dyDescent="0.3">
      <c r="B56" s="5">
        <v>5</v>
      </c>
      <c r="C56" s="5" t="s">
        <v>64</v>
      </c>
      <c r="D56" s="5">
        <v>50</v>
      </c>
      <c r="E56" s="5">
        <v>19</v>
      </c>
      <c r="F56" s="7" t="s">
        <v>82</v>
      </c>
      <c r="G56" s="7" t="s">
        <v>66</v>
      </c>
      <c r="H56" s="5" t="s">
        <v>83</v>
      </c>
      <c r="I56" s="10" t="s">
        <v>84</v>
      </c>
      <c r="J56" s="7" t="s">
        <v>86</v>
      </c>
      <c r="K56" s="7" t="s">
        <v>85</v>
      </c>
      <c r="L56" s="7"/>
      <c r="M56" s="7"/>
      <c r="N56" s="7" t="s">
        <v>71</v>
      </c>
    </row>
    <row r="57" spans="2:14" ht="57.6" x14ac:dyDescent="0.3">
      <c r="B57" s="5">
        <v>5</v>
      </c>
      <c r="C57" s="5" t="s">
        <v>64</v>
      </c>
      <c r="D57" s="5">
        <v>50</v>
      </c>
      <c r="E57" s="5">
        <v>19</v>
      </c>
      <c r="F57" s="7" t="s">
        <v>82</v>
      </c>
      <c r="G57" s="7" t="s">
        <v>66</v>
      </c>
      <c r="H57" s="5" t="s">
        <v>83</v>
      </c>
      <c r="I57" s="10" t="s">
        <v>84</v>
      </c>
      <c r="J57" s="7" t="s">
        <v>87</v>
      </c>
      <c r="K57" s="7" t="s">
        <v>85</v>
      </c>
      <c r="L57" s="7"/>
      <c r="M57" s="7"/>
      <c r="N57" s="7" t="s">
        <v>71</v>
      </c>
    </row>
    <row r="58" spans="2:14" ht="72" x14ac:dyDescent="0.3">
      <c r="B58" s="5">
        <v>5</v>
      </c>
      <c r="C58" s="5" t="s">
        <v>64</v>
      </c>
      <c r="D58" s="5">
        <v>50</v>
      </c>
      <c r="E58" s="5">
        <v>23</v>
      </c>
      <c r="F58" s="7" t="s">
        <v>88</v>
      </c>
      <c r="G58" s="7" t="s">
        <v>66</v>
      </c>
      <c r="H58" s="5" t="s">
        <v>89</v>
      </c>
      <c r="I58" s="10" t="s">
        <v>90</v>
      </c>
      <c r="J58" s="7" t="s">
        <v>91</v>
      </c>
      <c r="K58" s="7" t="s">
        <v>92</v>
      </c>
      <c r="L58" s="7"/>
      <c r="M58" s="7"/>
      <c r="N58" s="7" t="s">
        <v>71</v>
      </c>
    </row>
    <row r="59" spans="2:14" ht="86.4" x14ac:dyDescent="0.3">
      <c r="B59" s="5">
        <v>5</v>
      </c>
      <c r="C59" s="5" t="s">
        <v>64</v>
      </c>
      <c r="D59" s="5">
        <v>50</v>
      </c>
      <c r="E59" s="5">
        <v>23</v>
      </c>
      <c r="F59" s="7" t="s">
        <v>88</v>
      </c>
      <c r="G59" s="7" t="s">
        <v>66</v>
      </c>
      <c r="H59" s="5" t="s">
        <v>89</v>
      </c>
      <c r="I59" s="10" t="s">
        <v>90</v>
      </c>
      <c r="J59" s="7" t="s">
        <v>93</v>
      </c>
      <c r="K59" s="7" t="s">
        <v>92</v>
      </c>
      <c r="L59" s="7"/>
      <c r="M59" s="7"/>
      <c r="N59" s="7" t="s">
        <v>71</v>
      </c>
    </row>
    <row r="60" spans="2:14" ht="86.4" x14ac:dyDescent="0.3">
      <c r="B60" s="5">
        <v>5</v>
      </c>
      <c r="C60" s="5" t="s">
        <v>64</v>
      </c>
      <c r="D60" s="5">
        <v>50</v>
      </c>
      <c r="E60" s="5">
        <v>20</v>
      </c>
      <c r="F60" s="7" t="s">
        <v>94</v>
      </c>
      <c r="G60" s="7" t="s">
        <v>66</v>
      </c>
      <c r="H60" s="5" t="s">
        <v>95</v>
      </c>
      <c r="I60" s="10" t="s">
        <v>96</v>
      </c>
      <c r="J60" s="7" t="s">
        <v>77</v>
      </c>
      <c r="K60" s="7" t="s">
        <v>97</v>
      </c>
      <c r="L60" s="7"/>
      <c r="M60" s="7"/>
      <c r="N60" s="7" t="s">
        <v>71</v>
      </c>
    </row>
    <row r="61" spans="2:14" ht="86.4" x14ac:dyDescent="0.3">
      <c r="B61" s="5">
        <v>5</v>
      </c>
      <c r="C61" s="5" t="s">
        <v>64</v>
      </c>
      <c r="D61" s="5">
        <v>50</v>
      </c>
      <c r="E61" s="5">
        <v>20</v>
      </c>
      <c r="F61" s="7" t="s">
        <v>94</v>
      </c>
      <c r="G61" s="7" t="s">
        <v>66</v>
      </c>
      <c r="H61" s="5" t="s">
        <v>95</v>
      </c>
      <c r="I61" s="10" t="s">
        <v>96</v>
      </c>
      <c r="J61" s="7" t="s">
        <v>28</v>
      </c>
      <c r="K61" s="7" t="s">
        <v>97</v>
      </c>
      <c r="L61" s="7"/>
      <c r="M61" s="7"/>
      <c r="N61" s="7" t="s">
        <v>71</v>
      </c>
    </row>
    <row r="62" spans="2:14" ht="72" x14ac:dyDescent="0.3">
      <c r="B62" s="5">
        <v>5</v>
      </c>
      <c r="C62" s="5" t="s">
        <v>64</v>
      </c>
      <c r="D62" s="5">
        <v>50</v>
      </c>
      <c r="E62" s="5">
        <v>23</v>
      </c>
      <c r="F62" s="7" t="s">
        <v>98</v>
      </c>
      <c r="G62" s="7" t="s">
        <v>66</v>
      </c>
      <c r="H62" s="5" t="s">
        <v>99</v>
      </c>
      <c r="I62" s="10" t="s">
        <v>100</v>
      </c>
      <c r="J62" s="7" t="s">
        <v>101</v>
      </c>
      <c r="K62" s="7" t="s">
        <v>102</v>
      </c>
      <c r="L62" s="7"/>
      <c r="M62" s="7"/>
      <c r="N62" s="7" t="s">
        <v>71</v>
      </c>
    </row>
    <row r="63" spans="2:14" ht="86.4" x14ac:dyDescent="0.3">
      <c r="B63" s="5">
        <v>5</v>
      </c>
      <c r="C63" s="5" t="s">
        <v>64</v>
      </c>
      <c r="D63" s="5">
        <v>50</v>
      </c>
      <c r="E63" s="5">
        <v>19</v>
      </c>
      <c r="F63" s="7" t="s">
        <v>103</v>
      </c>
      <c r="G63" s="7" t="s">
        <v>66</v>
      </c>
      <c r="H63" s="5" t="s">
        <v>104</v>
      </c>
      <c r="I63" s="10" t="s">
        <v>105</v>
      </c>
      <c r="J63" s="7" t="s">
        <v>77</v>
      </c>
      <c r="K63" s="7" t="s">
        <v>106</v>
      </c>
      <c r="L63" s="7"/>
      <c r="M63" s="7"/>
      <c r="N63" s="7" t="s">
        <v>71</v>
      </c>
    </row>
    <row r="64" spans="2:14" ht="72" x14ac:dyDescent="0.3">
      <c r="B64" s="5">
        <v>5</v>
      </c>
      <c r="C64" s="5" t="s">
        <v>64</v>
      </c>
      <c r="D64" s="5">
        <v>50</v>
      </c>
      <c r="E64" s="5">
        <v>19</v>
      </c>
      <c r="F64" s="7" t="s">
        <v>103</v>
      </c>
      <c r="G64" s="7" t="s">
        <v>66</v>
      </c>
      <c r="H64" s="5" t="s">
        <v>104</v>
      </c>
      <c r="I64" s="10" t="s">
        <v>105</v>
      </c>
      <c r="J64" s="7" t="s">
        <v>107</v>
      </c>
      <c r="K64" s="7" t="s">
        <v>106</v>
      </c>
      <c r="L64" s="7"/>
      <c r="M64" s="7"/>
      <c r="N64" s="7" t="s">
        <v>71</v>
      </c>
    </row>
    <row r="65" spans="2:14" ht="86.4" x14ac:dyDescent="0.3">
      <c r="B65" s="2">
        <v>6</v>
      </c>
      <c r="C65" s="2" t="s">
        <v>108</v>
      </c>
      <c r="D65" s="2">
        <v>59</v>
      </c>
      <c r="E65" s="2">
        <v>15</v>
      </c>
      <c r="F65" s="1" t="s">
        <v>109</v>
      </c>
      <c r="G65" s="1" t="s">
        <v>66</v>
      </c>
      <c r="H65" s="2" t="s">
        <v>110</v>
      </c>
      <c r="I65" s="11" t="s">
        <v>111</v>
      </c>
      <c r="J65" s="1" t="s">
        <v>112</v>
      </c>
      <c r="K65" s="1" t="s">
        <v>76</v>
      </c>
      <c r="L65" s="1"/>
      <c r="M65" s="1"/>
      <c r="N65" s="1" t="s">
        <v>71</v>
      </c>
    </row>
    <row r="66" spans="2:14" ht="57.6" x14ac:dyDescent="0.3">
      <c r="B66" s="2">
        <v>6</v>
      </c>
      <c r="C66" s="2" t="s">
        <v>108</v>
      </c>
      <c r="D66" s="2">
        <v>59</v>
      </c>
      <c r="E66" s="2">
        <v>15</v>
      </c>
      <c r="F66" s="1" t="s">
        <v>109</v>
      </c>
      <c r="G66" s="1" t="s">
        <v>66</v>
      </c>
      <c r="H66" s="2" t="s">
        <v>110</v>
      </c>
      <c r="I66" s="11" t="s">
        <v>111</v>
      </c>
      <c r="J66" s="1" t="s">
        <v>113</v>
      </c>
      <c r="K66" s="1" t="s">
        <v>76</v>
      </c>
      <c r="L66" s="1"/>
      <c r="M66" s="1"/>
      <c r="N66" s="1" t="s">
        <v>71</v>
      </c>
    </row>
    <row r="67" spans="2:14" ht="86.4" x14ac:dyDescent="0.3">
      <c r="B67" s="2">
        <v>6</v>
      </c>
      <c r="C67" s="2" t="s">
        <v>108</v>
      </c>
      <c r="D67" s="2">
        <v>59</v>
      </c>
      <c r="E67" s="2">
        <v>12</v>
      </c>
      <c r="F67" s="1" t="s">
        <v>114</v>
      </c>
      <c r="G67" s="1" t="s">
        <v>66</v>
      </c>
      <c r="H67" s="2" t="s">
        <v>115</v>
      </c>
      <c r="I67" s="11" t="s">
        <v>116</v>
      </c>
      <c r="J67" s="1" t="s">
        <v>55</v>
      </c>
      <c r="K67" s="1" t="s">
        <v>85</v>
      </c>
      <c r="L67" s="1"/>
      <c r="M67" s="1"/>
      <c r="N67" s="1" t="s">
        <v>71</v>
      </c>
    </row>
    <row r="68" spans="2:14" ht="72" x14ac:dyDescent="0.3">
      <c r="B68" s="2">
        <v>6</v>
      </c>
      <c r="C68" s="2" t="s">
        <v>108</v>
      </c>
      <c r="D68" s="2">
        <v>59</v>
      </c>
      <c r="E68" s="2">
        <v>12</v>
      </c>
      <c r="F68" s="1" t="s">
        <v>114</v>
      </c>
      <c r="G68" s="1" t="s">
        <v>66</v>
      </c>
      <c r="H68" s="2" t="s">
        <v>115</v>
      </c>
      <c r="I68" s="11" t="s">
        <v>116</v>
      </c>
      <c r="J68" s="1" t="s">
        <v>117</v>
      </c>
      <c r="K68" s="1" t="s">
        <v>85</v>
      </c>
      <c r="L68" s="1"/>
      <c r="M68" s="1"/>
      <c r="N68" s="1" t="s">
        <v>71</v>
      </c>
    </row>
    <row r="69" spans="2:14" ht="86.4" x14ac:dyDescent="0.3">
      <c r="B69" s="2">
        <v>6</v>
      </c>
      <c r="C69" s="2" t="s">
        <v>108</v>
      </c>
      <c r="D69" s="2">
        <v>59</v>
      </c>
      <c r="E69" s="2">
        <v>26</v>
      </c>
      <c r="F69" s="1" t="s">
        <v>109</v>
      </c>
      <c r="G69" s="1" t="s">
        <v>66</v>
      </c>
      <c r="H69" s="2" t="s">
        <v>110</v>
      </c>
      <c r="I69" s="11" t="s">
        <v>118</v>
      </c>
      <c r="J69" s="1" t="s">
        <v>112</v>
      </c>
      <c r="K69" s="1" t="s">
        <v>92</v>
      </c>
      <c r="L69" s="1"/>
      <c r="M69" s="1"/>
      <c r="N69" s="1" t="s">
        <v>71</v>
      </c>
    </row>
    <row r="70" spans="2:14" ht="57.6" x14ac:dyDescent="0.3">
      <c r="B70" s="2">
        <v>6</v>
      </c>
      <c r="C70" s="2" t="s">
        <v>108</v>
      </c>
      <c r="D70" s="2">
        <v>59</v>
      </c>
      <c r="E70" s="2">
        <v>26</v>
      </c>
      <c r="F70" s="1" t="s">
        <v>109</v>
      </c>
      <c r="G70" s="1" t="s">
        <v>66</v>
      </c>
      <c r="H70" s="2" t="s">
        <v>110</v>
      </c>
      <c r="I70" s="11" t="s">
        <v>118</v>
      </c>
      <c r="J70" s="1" t="s">
        <v>113</v>
      </c>
      <c r="K70" s="1" t="s">
        <v>92</v>
      </c>
      <c r="L70" s="1"/>
      <c r="M70" s="1"/>
      <c r="N70" s="1" t="s">
        <v>71</v>
      </c>
    </row>
    <row r="71" spans="2:14" ht="86.4" x14ac:dyDescent="0.3">
      <c r="B71" s="2">
        <v>6</v>
      </c>
      <c r="C71" s="2" t="s">
        <v>108</v>
      </c>
      <c r="D71" s="2">
        <v>59</v>
      </c>
      <c r="E71" s="2">
        <v>9</v>
      </c>
      <c r="F71" s="1" t="s">
        <v>109</v>
      </c>
      <c r="G71" s="1" t="s">
        <v>66</v>
      </c>
      <c r="H71" s="2" t="s">
        <v>110</v>
      </c>
      <c r="I71" s="11" t="s">
        <v>119</v>
      </c>
      <c r="J71" s="1" t="s">
        <v>112</v>
      </c>
      <c r="K71" s="1" t="s">
        <v>97</v>
      </c>
      <c r="L71" s="1"/>
      <c r="M71" s="1"/>
      <c r="N71" s="1" t="s">
        <v>71</v>
      </c>
    </row>
    <row r="72" spans="2:14" ht="57.6" x14ac:dyDescent="0.3">
      <c r="B72" s="2">
        <v>6</v>
      </c>
      <c r="C72" s="2" t="s">
        <v>108</v>
      </c>
      <c r="D72" s="2">
        <v>59</v>
      </c>
      <c r="E72" s="2">
        <v>9</v>
      </c>
      <c r="F72" s="1" t="s">
        <v>109</v>
      </c>
      <c r="G72" s="1" t="s">
        <v>66</v>
      </c>
      <c r="H72" s="2" t="s">
        <v>110</v>
      </c>
      <c r="I72" s="11" t="s">
        <v>119</v>
      </c>
      <c r="J72" s="1" t="s">
        <v>113</v>
      </c>
      <c r="K72" s="1" t="s">
        <v>97</v>
      </c>
      <c r="L72" s="1"/>
      <c r="M72" s="1"/>
      <c r="N72" s="1" t="s">
        <v>71</v>
      </c>
    </row>
    <row r="73" spans="2:14" ht="57.6" x14ac:dyDescent="0.3">
      <c r="B73" s="2">
        <v>6</v>
      </c>
      <c r="C73" s="2" t="s">
        <v>108</v>
      </c>
      <c r="D73" s="2">
        <v>59</v>
      </c>
      <c r="E73" s="2">
        <v>10</v>
      </c>
      <c r="F73" s="1" t="s">
        <v>120</v>
      </c>
      <c r="G73" s="1" t="s">
        <v>66</v>
      </c>
      <c r="H73" s="2" t="s">
        <v>121</v>
      </c>
      <c r="I73" s="11" t="s">
        <v>122</v>
      </c>
      <c r="J73" s="1" t="s">
        <v>123</v>
      </c>
      <c r="K73" s="1" t="s">
        <v>106</v>
      </c>
      <c r="L73" s="1"/>
      <c r="M73" s="1"/>
      <c r="N73" s="1" t="s">
        <v>71</v>
      </c>
    </row>
    <row r="74" spans="2:14" ht="86.4" x14ac:dyDescent="0.3">
      <c r="B74" s="5">
        <v>7</v>
      </c>
      <c r="C74" s="5" t="s">
        <v>124</v>
      </c>
      <c r="D74" s="5">
        <v>42</v>
      </c>
      <c r="E74" s="5">
        <v>24</v>
      </c>
      <c r="F74" s="7" t="s">
        <v>125</v>
      </c>
      <c r="G74" s="7" t="s">
        <v>66</v>
      </c>
      <c r="H74" s="5" t="s">
        <v>126</v>
      </c>
      <c r="I74" s="10" t="s">
        <v>127</v>
      </c>
      <c r="J74" s="7" t="s">
        <v>11</v>
      </c>
      <c r="K74" s="7" t="s">
        <v>76</v>
      </c>
      <c r="L74" s="7"/>
      <c r="M74" s="7"/>
      <c r="N74" s="7" t="s">
        <v>71</v>
      </c>
    </row>
    <row r="75" spans="2:14" ht="72" x14ac:dyDescent="0.3">
      <c r="B75" s="5">
        <v>7</v>
      </c>
      <c r="C75" s="5" t="s">
        <v>124</v>
      </c>
      <c r="D75" s="5">
        <v>42</v>
      </c>
      <c r="E75" s="5">
        <v>24</v>
      </c>
      <c r="F75" s="7" t="s">
        <v>125</v>
      </c>
      <c r="G75" s="7" t="s">
        <v>66</v>
      </c>
      <c r="H75" s="5" t="s">
        <v>126</v>
      </c>
      <c r="I75" s="10" t="s">
        <v>127</v>
      </c>
      <c r="J75" s="7" t="s">
        <v>128</v>
      </c>
      <c r="K75" s="7" t="s">
        <v>76</v>
      </c>
      <c r="L75" s="7"/>
      <c r="M75" s="7"/>
      <c r="N75" s="7" t="s">
        <v>71</v>
      </c>
    </row>
    <row r="76" spans="2:14" ht="72" x14ac:dyDescent="0.3">
      <c r="B76" s="5">
        <v>7</v>
      </c>
      <c r="C76" s="5" t="s">
        <v>124</v>
      </c>
      <c r="D76" s="5">
        <v>42</v>
      </c>
      <c r="E76" s="5">
        <v>17</v>
      </c>
      <c r="F76" s="7" t="s">
        <v>129</v>
      </c>
      <c r="G76" s="7" t="s">
        <v>66</v>
      </c>
      <c r="H76" s="5" t="s">
        <v>130</v>
      </c>
      <c r="I76" s="10" t="s">
        <v>131</v>
      </c>
      <c r="J76" s="7" t="s">
        <v>30</v>
      </c>
      <c r="K76" s="7" t="s">
        <v>97</v>
      </c>
      <c r="L76" s="7"/>
      <c r="M76" s="7"/>
      <c r="N76" s="7" t="s">
        <v>71</v>
      </c>
    </row>
    <row r="77" spans="2:14" ht="86.4" x14ac:dyDescent="0.3">
      <c r="B77" s="5">
        <v>7</v>
      </c>
      <c r="C77" s="5" t="s">
        <v>124</v>
      </c>
      <c r="D77" s="5">
        <v>42</v>
      </c>
      <c r="E77" s="5">
        <v>17</v>
      </c>
      <c r="F77" s="7" t="s">
        <v>129</v>
      </c>
      <c r="G77" s="7" t="s">
        <v>66</v>
      </c>
      <c r="H77" s="5" t="s">
        <v>130</v>
      </c>
      <c r="I77" s="10" t="s">
        <v>131</v>
      </c>
      <c r="J77" s="7" t="s">
        <v>132</v>
      </c>
      <c r="K77" s="7" t="s">
        <v>97</v>
      </c>
      <c r="L77" s="7"/>
      <c r="M77" s="7"/>
      <c r="N77" s="7" t="s">
        <v>71</v>
      </c>
    </row>
    <row r="78" spans="2:14" ht="72" x14ac:dyDescent="0.3">
      <c r="B78" s="2">
        <v>8</v>
      </c>
      <c r="C78" s="2" t="s">
        <v>133</v>
      </c>
      <c r="D78" s="2">
        <v>48</v>
      </c>
      <c r="E78" s="2">
        <v>29</v>
      </c>
      <c r="F78" s="1" t="s">
        <v>88</v>
      </c>
      <c r="G78" s="1" t="s">
        <v>66</v>
      </c>
      <c r="H78" s="2" t="s">
        <v>89</v>
      </c>
      <c r="I78" s="11" t="s">
        <v>134</v>
      </c>
      <c r="J78" s="1" t="s">
        <v>91</v>
      </c>
      <c r="K78" s="1" t="s">
        <v>76</v>
      </c>
      <c r="L78" s="1"/>
      <c r="M78" s="1"/>
      <c r="N78" s="1" t="s">
        <v>71</v>
      </c>
    </row>
    <row r="79" spans="2:14" ht="86.4" x14ac:dyDescent="0.3">
      <c r="B79" s="2">
        <v>8</v>
      </c>
      <c r="C79" s="2" t="s">
        <v>133</v>
      </c>
      <c r="D79" s="2">
        <v>48</v>
      </c>
      <c r="E79" s="2">
        <v>29</v>
      </c>
      <c r="F79" s="1" t="s">
        <v>88</v>
      </c>
      <c r="G79" s="1" t="s">
        <v>66</v>
      </c>
      <c r="H79" s="2" t="s">
        <v>89</v>
      </c>
      <c r="I79" s="11" t="s">
        <v>134</v>
      </c>
      <c r="J79" s="1" t="s">
        <v>135</v>
      </c>
      <c r="K79" s="1" t="s">
        <v>76</v>
      </c>
      <c r="L79" s="1"/>
      <c r="M79" s="1"/>
      <c r="N79" s="1" t="s">
        <v>71</v>
      </c>
    </row>
    <row r="80" spans="2:14" ht="100.8" x14ac:dyDescent="0.3">
      <c r="B80" s="2">
        <v>8</v>
      </c>
      <c r="C80" s="2" t="s">
        <v>133</v>
      </c>
      <c r="D80" s="2">
        <v>48</v>
      </c>
      <c r="E80" s="2">
        <v>29</v>
      </c>
      <c r="F80" s="1" t="s">
        <v>98</v>
      </c>
      <c r="G80" s="1" t="s">
        <v>66</v>
      </c>
      <c r="H80" s="2" t="s">
        <v>99</v>
      </c>
      <c r="I80" s="11" t="s">
        <v>136</v>
      </c>
      <c r="J80" s="1" t="s">
        <v>137</v>
      </c>
      <c r="K80" s="1" t="s">
        <v>85</v>
      </c>
      <c r="L80" s="1"/>
      <c r="M80" s="1"/>
      <c r="N80" s="1" t="s">
        <v>71</v>
      </c>
    </row>
    <row r="81" spans="2:14" ht="86.4" x14ac:dyDescent="0.3">
      <c r="B81" s="2">
        <v>8</v>
      </c>
      <c r="C81" s="2" t="s">
        <v>133</v>
      </c>
      <c r="D81" s="2">
        <v>48</v>
      </c>
      <c r="E81" s="2">
        <v>30</v>
      </c>
      <c r="F81" s="1" t="s">
        <v>65</v>
      </c>
      <c r="G81" s="1" t="s">
        <v>66</v>
      </c>
      <c r="H81" s="2" t="s">
        <v>67</v>
      </c>
      <c r="I81" s="11" t="s">
        <v>138</v>
      </c>
      <c r="J81" s="1" t="s">
        <v>14</v>
      </c>
      <c r="K81" s="1" t="s">
        <v>97</v>
      </c>
      <c r="L81" s="1"/>
      <c r="M81" s="1"/>
      <c r="N81" s="1" t="s">
        <v>71</v>
      </c>
    </row>
    <row r="82" spans="2:14" ht="72" x14ac:dyDescent="0.3">
      <c r="B82" s="2">
        <v>8</v>
      </c>
      <c r="C82" s="2" t="s">
        <v>133</v>
      </c>
      <c r="D82" s="2">
        <v>48</v>
      </c>
      <c r="E82" s="2">
        <v>30</v>
      </c>
      <c r="F82" s="1" t="s">
        <v>65</v>
      </c>
      <c r="G82" s="1" t="s">
        <v>66</v>
      </c>
      <c r="H82" s="2" t="s">
        <v>67</v>
      </c>
      <c r="I82" s="11" t="s">
        <v>138</v>
      </c>
      <c r="J82" s="1" t="s">
        <v>51</v>
      </c>
      <c r="K82" s="1" t="s">
        <v>97</v>
      </c>
      <c r="L82" s="1"/>
      <c r="M82" s="1"/>
      <c r="N82" s="1" t="s">
        <v>71</v>
      </c>
    </row>
    <row r="83" spans="2:14" ht="72" x14ac:dyDescent="0.3">
      <c r="B83" s="2">
        <v>8</v>
      </c>
      <c r="C83" s="2" t="s">
        <v>133</v>
      </c>
      <c r="D83" s="2">
        <v>48</v>
      </c>
      <c r="E83" s="2">
        <v>29</v>
      </c>
      <c r="F83" s="1" t="s">
        <v>78</v>
      </c>
      <c r="G83" s="1" t="s">
        <v>66</v>
      </c>
      <c r="H83" s="2" t="s">
        <v>79</v>
      </c>
      <c r="I83" s="11" t="s">
        <v>139</v>
      </c>
      <c r="J83" s="1" t="s">
        <v>50</v>
      </c>
      <c r="K83" s="1" t="s">
        <v>106</v>
      </c>
      <c r="L83" s="1"/>
      <c r="M83" s="1"/>
      <c r="N83" s="1" t="s">
        <v>71</v>
      </c>
    </row>
    <row r="84" spans="2:14" ht="72" x14ac:dyDescent="0.3">
      <c r="B84" s="5">
        <v>9</v>
      </c>
      <c r="C84" s="5" t="s">
        <v>140</v>
      </c>
      <c r="D84" s="5">
        <v>40</v>
      </c>
      <c r="E84" s="5">
        <v>4</v>
      </c>
      <c r="F84" s="7" t="s">
        <v>141</v>
      </c>
      <c r="G84" s="7" t="s">
        <v>66</v>
      </c>
      <c r="H84" s="5" t="s">
        <v>142</v>
      </c>
      <c r="I84" s="10" t="s">
        <v>143</v>
      </c>
      <c r="J84" s="7" t="s">
        <v>117</v>
      </c>
      <c r="K84" s="7" t="s">
        <v>76</v>
      </c>
      <c r="L84" s="7"/>
      <c r="M84" s="7"/>
      <c r="N84" s="7" t="s">
        <v>71</v>
      </c>
    </row>
    <row r="85" spans="2:14" ht="86.4" x14ac:dyDescent="0.3">
      <c r="B85" s="5">
        <v>9</v>
      </c>
      <c r="C85" s="5" t="s">
        <v>140</v>
      </c>
      <c r="D85" s="5">
        <v>40</v>
      </c>
      <c r="E85" s="5">
        <v>4</v>
      </c>
      <c r="F85" s="7" t="s">
        <v>141</v>
      </c>
      <c r="G85" s="7" t="s">
        <v>66</v>
      </c>
      <c r="H85" s="5" t="s">
        <v>142</v>
      </c>
      <c r="I85" s="10" t="s">
        <v>143</v>
      </c>
      <c r="J85" s="7" t="s">
        <v>77</v>
      </c>
      <c r="K85" s="7" t="s">
        <v>76</v>
      </c>
      <c r="L85" s="7"/>
      <c r="M85" s="7"/>
      <c r="N85" s="7" t="s">
        <v>71</v>
      </c>
    </row>
    <row r="86" spans="2:14" ht="100.8" x14ac:dyDescent="0.3">
      <c r="B86" s="5">
        <v>9</v>
      </c>
      <c r="C86" s="5" t="s">
        <v>140</v>
      </c>
      <c r="D86" s="5">
        <v>40</v>
      </c>
      <c r="E86" s="5">
        <v>17</v>
      </c>
      <c r="F86" s="7" t="s">
        <v>144</v>
      </c>
      <c r="G86" s="7" t="s">
        <v>66</v>
      </c>
      <c r="H86" s="5" t="s">
        <v>145</v>
      </c>
      <c r="I86" s="10" t="s">
        <v>146</v>
      </c>
      <c r="J86" s="7" t="s">
        <v>147</v>
      </c>
      <c r="K86" s="7" t="s">
        <v>85</v>
      </c>
      <c r="L86" s="7"/>
      <c r="M86" s="7"/>
      <c r="N86" s="7" t="s">
        <v>71</v>
      </c>
    </row>
    <row r="87" spans="2:14" ht="86.4" x14ac:dyDescent="0.3">
      <c r="B87" s="5">
        <v>9</v>
      </c>
      <c r="C87" s="5" t="s">
        <v>140</v>
      </c>
      <c r="D87" s="5">
        <v>40</v>
      </c>
      <c r="E87" s="5">
        <v>6</v>
      </c>
      <c r="F87" s="7" t="s">
        <v>148</v>
      </c>
      <c r="G87" s="7" t="s">
        <v>66</v>
      </c>
      <c r="H87" s="5" t="s">
        <v>149</v>
      </c>
      <c r="I87" s="10" t="s">
        <v>150</v>
      </c>
      <c r="J87" s="7" t="s">
        <v>55</v>
      </c>
      <c r="K87" s="7" t="s">
        <v>97</v>
      </c>
      <c r="L87" s="7"/>
      <c r="M87" s="7"/>
      <c r="N87" s="7" t="s">
        <v>71</v>
      </c>
    </row>
    <row r="88" spans="2:14" ht="72" x14ac:dyDescent="0.3">
      <c r="B88" s="5">
        <v>9</v>
      </c>
      <c r="C88" s="5" t="s">
        <v>140</v>
      </c>
      <c r="D88" s="5">
        <v>40</v>
      </c>
      <c r="E88" s="5">
        <v>6</v>
      </c>
      <c r="F88" s="7" t="s">
        <v>148</v>
      </c>
      <c r="G88" s="7" t="s">
        <v>66</v>
      </c>
      <c r="H88" s="5" t="s">
        <v>149</v>
      </c>
      <c r="I88" s="10" t="s">
        <v>150</v>
      </c>
      <c r="J88" s="7" t="s">
        <v>117</v>
      </c>
      <c r="K88" s="7" t="s">
        <v>97</v>
      </c>
      <c r="L88" s="7"/>
      <c r="M88" s="7"/>
      <c r="N88" s="7" t="s">
        <v>71</v>
      </c>
    </row>
    <row r="89" spans="2:14" ht="100.8" x14ac:dyDescent="0.3">
      <c r="B89" s="5">
        <v>9</v>
      </c>
      <c r="C89" s="5" t="s">
        <v>140</v>
      </c>
      <c r="D89" s="5">
        <v>40</v>
      </c>
      <c r="E89" s="5">
        <v>10</v>
      </c>
      <c r="F89" s="7" t="s">
        <v>151</v>
      </c>
      <c r="G89" s="7" t="s">
        <v>66</v>
      </c>
      <c r="H89" s="5" t="s">
        <v>152</v>
      </c>
      <c r="I89" s="10" t="s">
        <v>153</v>
      </c>
      <c r="J89" s="7" t="s">
        <v>154</v>
      </c>
      <c r="K89" s="7" t="s">
        <v>106</v>
      </c>
      <c r="L89" s="7"/>
      <c r="M89" s="7"/>
      <c r="N89" s="7" t="s">
        <v>71</v>
      </c>
    </row>
    <row r="90" spans="2:14" ht="100.8" x14ac:dyDescent="0.3">
      <c r="B90" s="5">
        <v>9</v>
      </c>
      <c r="C90" s="5" t="s">
        <v>140</v>
      </c>
      <c r="D90" s="5">
        <v>40</v>
      </c>
      <c r="E90" s="5">
        <v>10</v>
      </c>
      <c r="F90" s="7" t="s">
        <v>151</v>
      </c>
      <c r="G90" s="7" t="s">
        <v>66</v>
      </c>
      <c r="H90" s="5" t="s">
        <v>152</v>
      </c>
      <c r="I90" s="10" t="s">
        <v>153</v>
      </c>
      <c r="J90" s="7" t="s">
        <v>61</v>
      </c>
      <c r="K90" s="7" t="s">
        <v>106</v>
      </c>
      <c r="L90" s="7"/>
      <c r="M90" s="7"/>
      <c r="N90" s="7" t="s">
        <v>71</v>
      </c>
    </row>
    <row r="91" spans="2:14" ht="72" x14ac:dyDescent="0.3">
      <c r="B91" s="2">
        <v>10</v>
      </c>
      <c r="C91" s="2" t="s">
        <v>155</v>
      </c>
      <c r="D91" s="2">
        <v>40</v>
      </c>
      <c r="E91" s="2">
        <v>29</v>
      </c>
      <c r="F91" s="1" t="s">
        <v>65</v>
      </c>
      <c r="G91" s="1" t="s">
        <v>66</v>
      </c>
      <c r="H91" s="2" t="s">
        <v>67</v>
      </c>
      <c r="I91" s="11" t="s">
        <v>156</v>
      </c>
      <c r="J91" s="1" t="s">
        <v>51</v>
      </c>
      <c r="K91" s="1" t="s">
        <v>76</v>
      </c>
      <c r="L91" s="1"/>
      <c r="M91" s="1"/>
      <c r="N91" s="1" t="s">
        <v>71</v>
      </c>
    </row>
    <row r="92" spans="2:14" ht="86.4" x14ac:dyDescent="0.3">
      <c r="B92" s="2">
        <v>10</v>
      </c>
      <c r="C92" s="2" t="s">
        <v>155</v>
      </c>
      <c r="D92" s="2">
        <v>40</v>
      </c>
      <c r="E92" s="2">
        <v>29</v>
      </c>
      <c r="F92" s="1" t="s">
        <v>65</v>
      </c>
      <c r="G92" s="1" t="s">
        <v>66</v>
      </c>
      <c r="H92" s="2" t="s">
        <v>67</v>
      </c>
      <c r="I92" s="11" t="s">
        <v>156</v>
      </c>
      <c r="J92" s="1" t="s">
        <v>14</v>
      </c>
      <c r="K92" s="1" t="s">
        <v>76</v>
      </c>
      <c r="L92" s="1"/>
      <c r="M92" s="1"/>
      <c r="N92" s="1" t="s">
        <v>71</v>
      </c>
    </row>
    <row r="93" spans="2:14" ht="72" x14ac:dyDescent="0.3">
      <c r="B93" s="2">
        <v>10</v>
      </c>
      <c r="C93" s="2" t="s">
        <v>155</v>
      </c>
      <c r="D93" s="2">
        <v>40</v>
      </c>
      <c r="E93" s="2">
        <v>29</v>
      </c>
      <c r="F93" s="1" t="s">
        <v>78</v>
      </c>
      <c r="G93" s="1" t="s">
        <v>66</v>
      </c>
      <c r="H93" s="2" t="s">
        <v>79</v>
      </c>
      <c r="I93" s="11" t="s">
        <v>157</v>
      </c>
      <c r="J93" s="1" t="s">
        <v>50</v>
      </c>
      <c r="K93" s="1" t="s">
        <v>85</v>
      </c>
      <c r="L93" s="1"/>
      <c r="M93" s="1"/>
      <c r="N93" s="1" t="s">
        <v>71</v>
      </c>
    </row>
    <row r="94" spans="2:14" ht="72" x14ac:dyDescent="0.3">
      <c r="B94" s="2">
        <v>10</v>
      </c>
      <c r="C94" s="2" t="s">
        <v>155</v>
      </c>
      <c r="D94" s="2">
        <v>40</v>
      </c>
      <c r="E94" s="2">
        <v>29</v>
      </c>
      <c r="F94" s="1" t="s">
        <v>88</v>
      </c>
      <c r="G94" s="1" t="s">
        <v>66</v>
      </c>
      <c r="H94" s="2" t="s">
        <v>89</v>
      </c>
      <c r="I94" s="11" t="s">
        <v>158</v>
      </c>
      <c r="J94" s="1" t="s">
        <v>91</v>
      </c>
      <c r="K94" s="1" t="s">
        <v>97</v>
      </c>
      <c r="L94" s="1"/>
      <c r="M94" s="1"/>
      <c r="N94" s="1" t="s">
        <v>71</v>
      </c>
    </row>
    <row r="95" spans="2:14" ht="86.4" x14ac:dyDescent="0.3">
      <c r="B95" s="2">
        <v>10</v>
      </c>
      <c r="C95" s="2" t="s">
        <v>155</v>
      </c>
      <c r="D95" s="2">
        <v>40</v>
      </c>
      <c r="E95" s="2">
        <v>29</v>
      </c>
      <c r="F95" s="1" t="s">
        <v>88</v>
      </c>
      <c r="G95" s="1" t="s">
        <v>66</v>
      </c>
      <c r="H95" s="2" t="s">
        <v>89</v>
      </c>
      <c r="I95" s="11" t="s">
        <v>158</v>
      </c>
      <c r="J95" s="1" t="s">
        <v>135</v>
      </c>
      <c r="K95" s="1" t="s">
        <v>97</v>
      </c>
      <c r="L95" s="1"/>
      <c r="M95" s="1"/>
      <c r="N95" s="1" t="s">
        <v>71</v>
      </c>
    </row>
    <row r="96" spans="2:14" ht="72" x14ac:dyDescent="0.3">
      <c r="B96" s="2">
        <v>10</v>
      </c>
      <c r="C96" s="2" t="s">
        <v>155</v>
      </c>
      <c r="D96" s="2">
        <v>40</v>
      </c>
      <c r="E96" s="2">
        <v>29</v>
      </c>
      <c r="F96" s="1" t="s">
        <v>98</v>
      </c>
      <c r="G96" s="1" t="s">
        <v>66</v>
      </c>
      <c r="H96" s="2" t="s">
        <v>99</v>
      </c>
      <c r="I96" s="11" t="s">
        <v>159</v>
      </c>
      <c r="J96" s="1" t="s">
        <v>101</v>
      </c>
      <c r="K96" s="1" t="s">
        <v>106</v>
      </c>
      <c r="L96" s="1"/>
      <c r="M96" s="1"/>
      <c r="N96" s="1" t="s">
        <v>71</v>
      </c>
    </row>
    <row r="97" spans="2:14" ht="100.8" x14ac:dyDescent="0.3">
      <c r="B97" s="5">
        <v>11</v>
      </c>
      <c r="C97" s="5" t="s">
        <v>160</v>
      </c>
      <c r="D97" s="5">
        <v>40</v>
      </c>
      <c r="E97" s="5">
        <v>6</v>
      </c>
      <c r="F97" s="7" t="s">
        <v>161</v>
      </c>
      <c r="G97" s="7" t="s">
        <v>66</v>
      </c>
      <c r="H97" s="5" t="s">
        <v>162</v>
      </c>
      <c r="I97" s="10" t="s">
        <v>163</v>
      </c>
      <c r="J97" s="7" t="s">
        <v>147</v>
      </c>
      <c r="K97" s="7" t="s">
        <v>76</v>
      </c>
      <c r="L97" s="7"/>
      <c r="M97" s="7"/>
      <c r="N97" s="7" t="s">
        <v>71</v>
      </c>
    </row>
    <row r="98" spans="2:14" ht="72" x14ac:dyDescent="0.3">
      <c r="B98" s="5">
        <v>11</v>
      </c>
      <c r="C98" s="5" t="s">
        <v>160</v>
      </c>
      <c r="D98" s="5">
        <v>40</v>
      </c>
      <c r="E98" s="5">
        <v>8</v>
      </c>
      <c r="F98" s="7" t="s">
        <v>164</v>
      </c>
      <c r="G98" s="7" t="s">
        <v>66</v>
      </c>
      <c r="H98" s="5" t="s">
        <v>165</v>
      </c>
      <c r="I98" s="10" t="s">
        <v>166</v>
      </c>
      <c r="J98" s="7" t="s">
        <v>91</v>
      </c>
      <c r="K98" s="7" t="s">
        <v>85</v>
      </c>
      <c r="L98" s="7"/>
      <c r="M98" s="7"/>
      <c r="N98" s="7" t="s">
        <v>71</v>
      </c>
    </row>
    <row r="99" spans="2:14" ht="72" x14ac:dyDescent="0.3">
      <c r="B99" s="5">
        <v>11</v>
      </c>
      <c r="C99" s="5" t="s">
        <v>160</v>
      </c>
      <c r="D99" s="5">
        <v>40</v>
      </c>
      <c r="E99" s="5">
        <v>22</v>
      </c>
      <c r="F99" s="7" t="s">
        <v>167</v>
      </c>
      <c r="G99" s="7" t="s">
        <v>66</v>
      </c>
      <c r="H99" s="5" t="s">
        <v>168</v>
      </c>
      <c r="I99" s="10" t="s">
        <v>169</v>
      </c>
      <c r="J99" s="7" t="s">
        <v>170</v>
      </c>
      <c r="K99" s="7" t="s">
        <v>106</v>
      </c>
      <c r="L99" s="7"/>
      <c r="M99" s="7"/>
      <c r="N99" s="7" t="s">
        <v>71</v>
      </c>
    </row>
    <row r="100" spans="2:14" ht="100.8" x14ac:dyDescent="0.3">
      <c r="B100" s="5">
        <v>11</v>
      </c>
      <c r="C100" s="5" t="s">
        <v>160</v>
      </c>
      <c r="D100" s="5">
        <v>40</v>
      </c>
      <c r="E100" s="5">
        <v>22</v>
      </c>
      <c r="F100" s="7" t="s">
        <v>167</v>
      </c>
      <c r="G100" s="7" t="s">
        <v>66</v>
      </c>
      <c r="H100" s="5" t="s">
        <v>168</v>
      </c>
      <c r="I100" s="10" t="s">
        <v>169</v>
      </c>
      <c r="J100" s="7" t="s">
        <v>147</v>
      </c>
      <c r="K100" s="7" t="s">
        <v>106</v>
      </c>
      <c r="L100" s="7"/>
      <c r="M100" s="7"/>
      <c r="N100" s="7" t="s">
        <v>71</v>
      </c>
    </row>
    <row r="102" spans="2:14" ht="86.4" x14ac:dyDescent="0.3">
      <c r="B102" s="5">
        <v>39</v>
      </c>
      <c r="C102" s="5" t="s">
        <v>609</v>
      </c>
      <c r="D102" s="5">
        <v>70</v>
      </c>
      <c r="E102" s="5">
        <v>32</v>
      </c>
      <c r="F102" s="7" t="s">
        <v>191</v>
      </c>
      <c r="G102" s="7" t="s">
        <v>173</v>
      </c>
      <c r="H102" s="5" t="s">
        <v>192</v>
      </c>
      <c r="I102" s="10" t="s">
        <v>193</v>
      </c>
      <c r="J102" s="7" t="s">
        <v>135</v>
      </c>
      <c r="K102" s="7" t="s">
        <v>62</v>
      </c>
      <c r="L102" s="5" t="str">
        <f>LEFT(K102,FIND( ",",K102)-1)</f>
        <v>Jumat</v>
      </c>
      <c r="M102" s="2" t="str">
        <f>MID(K102,FIND(",",K102)+2,LEN(K102))</f>
        <v>10:00 - 11:40</v>
      </c>
      <c r="N102" s="7" t="s">
        <v>177</v>
      </c>
    </row>
    <row r="103" spans="2:14" ht="72" x14ac:dyDescent="0.3">
      <c r="B103" s="5">
        <v>39</v>
      </c>
      <c r="C103" s="5" t="s">
        <v>609</v>
      </c>
      <c r="D103" s="5">
        <v>70</v>
      </c>
      <c r="E103" s="5">
        <v>30</v>
      </c>
      <c r="F103" s="7" t="s">
        <v>214</v>
      </c>
      <c r="G103" s="7" t="s">
        <v>173</v>
      </c>
      <c r="H103" s="5" t="s">
        <v>215</v>
      </c>
      <c r="I103" s="10" t="s">
        <v>545</v>
      </c>
      <c r="J103" s="7" t="s">
        <v>544</v>
      </c>
      <c r="K103" s="7" t="s">
        <v>46</v>
      </c>
      <c r="L103" s="5" t="str">
        <f>LEFT(K103,FIND( ",",K103)-1)</f>
        <v>Jumat</v>
      </c>
      <c r="M103" s="2" t="str">
        <f>MID(K103,FIND(",",K103)+2,LEN(K103))</f>
        <v>14:00 - 15:40</v>
      </c>
      <c r="N103" s="7" t="s">
        <v>177</v>
      </c>
    </row>
    <row r="104" spans="2:14" ht="72" x14ac:dyDescent="0.3">
      <c r="B104" s="5">
        <v>39</v>
      </c>
      <c r="C104" s="5" t="s">
        <v>609</v>
      </c>
      <c r="D104" s="5">
        <v>70</v>
      </c>
      <c r="E104" s="5">
        <v>40</v>
      </c>
      <c r="F104" s="7" t="s">
        <v>297</v>
      </c>
      <c r="G104" s="7" t="s">
        <v>220</v>
      </c>
      <c r="H104" s="5" t="s">
        <v>298</v>
      </c>
      <c r="I104" s="10" t="s">
        <v>522</v>
      </c>
      <c r="J104" s="7" t="s">
        <v>190</v>
      </c>
      <c r="K104" s="7" t="s">
        <v>45</v>
      </c>
      <c r="L104" s="5" t="str">
        <f>LEFT(K104,FIND( ",",K104)-1)</f>
        <v>Kamis</v>
      </c>
      <c r="M104" s="2" t="str">
        <f>MID(K104,FIND(",",K104)+2,LEN(K104))</f>
        <v>13:00 - 14:40</v>
      </c>
      <c r="N104" s="7" t="s">
        <v>224</v>
      </c>
    </row>
    <row r="105" spans="2:14" ht="57.6" x14ac:dyDescent="0.3">
      <c r="B105" s="5">
        <v>39</v>
      </c>
      <c r="C105" s="5" t="s">
        <v>609</v>
      </c>
      <c r="D105" s="5">
        <v>70</v>
      </c>
      <c r="E105" s="5">
        <v>48</v>
      </c>
      <c r="F105" s="7" t="s">
        <v>297</v>
      </c>
      <c r="G105" s="7" t="s">
        <v>220</v>
      </c>
      <c r="H105" s="5" t="s">
        <v>298</v>
      </c>
      <c r="I105" s="10" t="s">
        <v>523</v>
      </c>
      <c r="J105" s="7" t="s">
        <v>472</v>
      </c>
      <c r="K105" s="7" t="s">
        <v>202</v>
      </c>
      <c r="L105" s="5" t="str">
        <f>LEFT(K105,FIND( ",",K105)-1)</f>
        <v>Kamis</v>
      </c>
      <c r="M105" s="2" t="str">
        <f>MID(K105,FIND(",",K105)+2,LEN(K105))</f>
        <v>15:00 - 16:40</v>
      </c>
      <c r="N105" s="7" t="s">
        <v>224</v>
      </c>
    </row>
    <row r="106" spans="2:14" ht="72" x14ac:dyDescent="0.3">
      <c r="B106" s="2">
        <v>40</v>
      </c>
      <c r="C106" s="2" t="s">
        <v>610</v>
      </c>
      <c r="D106" s="2">
        <v>40</v>
      </c>
      <c r="E106" s="2">
        <v>33</v>
      </c>
      <c r="F106" s="1" t="s">
        <v>214</v>
      </c>
      <c r="G106" s="1" t="s">
        <v>173</v>
      </c>
      <c r="H106" s="2" t="s">
        <v>215</v>
      </c>
      <c r="I106" s="11" t="s">
        <v>543</v>
      </c>
      <c r="J106" s="1" t="s">
        <v>340</v>
      </c>
      <c r="K106" s="1" t="s">
        <v>46</v>
      </c>
      <c r="L106" s="2" t="str">
        <f>LEFT(K106,FIND( ",",K106)-1)</f>
        <v>Jumat</v>
      </c>
      <c r="M106" s="2" t="str">
        <f>MID(K106,FIND(",",K106)+2,LEN(K106))</f>
        <v>14:00 - 15:40</v>
      </c>
      <c r="N106" s="1" t="s">
        <v>177</v>
      </c>
    </row>
    <row r="107" spans="2:14" ht="72" x14ac:dyDescent="0.3">
      <c r="B107" s="2">
        <v>40</v>
      </c>
      <c r="C107" s="2" t="s">
        <v>610</v>
      </c>
      <c r="D107" s="2">
        <v>40</v>
      </c>
      <c r="E107" s="2">
        <v>33</v>
      </c>
      <c r="F107" s="1" t="s">
        <v>214</v>
      </c>
      <c r="G107" s="1" t="s">
        <v>173</v>
      </c>
      <c r="H107" s="2" t="s">
        <v>215</v>
      </c>
      <c r="I107" s="11" t="s">
        <v>543</v>
      </c>
      <c r="J107" s="1" t="s">
        <v>544</v>
      </c>
      <c r="K107" s="1" t="s">
        <v>46</v>
      </c>
      <c r="L107" s="2" t="str">
        <f>LEFT(K107,FIND( ",",K107)-1)</f>
        <v>Jumat</v>
      </c>
      <c r="M107" s="2" t="str">
        <f>MID(K107,FIND(",",K107)+2,LEN(K107))</f>
        <v>14:00 - 15:40</v>
      </c>
      <c r="N107" s="1" t="s">
        <v>177</v>
      </c>
    </row>
    <row r="108" spans="2:14" ht="86.4" x14ac:dyDescent="0.3">
      <c r="B108" s="2">
        <v>40</v>
      </c>
      <c r="C108" s="2" t="s">
        <v>610</v>
      </c>
      <c r="D108" s="2">
        <v>40</v>
      </c>
      <c r="E108" s="2">
        <v>13</v>
      </c>
      <c r="F108" s="1" t="s">
        <v>497</v>
      </c>
      <c r="G108" s="1" t="s">
        <v>173</v>
      </c>
      <c r="H108" s="2" t="s">
        <v>498</v>
      </c>
      <c r="I108" s="11" t="s">
        <v>526</v>
      </c>
      <c r="J108" s="1" t="s">
        <v>18</v>
      </c>
      <c r="K108" s="1" t="s">
        <v>263</v>
      </c>
      <c r="L108" s="2" t="str">
        <f>LEFT(K108,FIND( ",",K108)-1)</f>
        <v>Kamis</v>
      </c>
      <c r="M108" s="2" t="str">
        <f>MID(K108,FIND(",",K108)+2,LEN(K108))</f>
        <v>13:00 - 13:50</v>
      </c>
      <c r="N108" s="1" t="s">
        <v>177</v>
      </c>
    </row>
    <row r="109" spans="2:14" ht="86.4" x14ac:dyDescent="0.3">
      <c r="B109" s="5">
        <v>41</v>
      </c>
      <c r="C109" s="5" t="s">
        <v>611</v>
      </c>
      <c r="D109" s="5">
        <v>60</v>
      </c>
      <c r="E109" s="5">
        <v>32</v>
      </c>
      <c r="F109" s="7" t="s">
        <v>409</v>
      </c>
      <c r="G109" s="7" t="s">
        <v>576</v>
      </c>
      <c r="H109" s="5" t="s">
        <v>410</v>
      </c>
      <c r="I109" s="10" t="s">
        <v>598</v>
      </c>
      <c r="J109" s="7" t="s">
        <v>509</v>
      </c>
      <c r="K109" s="7" t="s">
        <v>567</v>
      </c>
      <c r="L109" s="5" t="str">
        <f>LEFT(K109,FIND( ",",K109)-1)</f>
        <v>Jumat</v>
      </c>
      <c r="M109" s="2" t="str">
        <f>MID(K109,FIND(",",K109)+2,LEN(K109))</f>
        <v>10:00 - 10:50</v>
      </c>
      <c r="N109" s="7" t="s">
        <v>578</v>
      </c>
    </row>
    <row r="110" spans="2:14" ht="100.8" x14ac:dyDescent="0.3">
      <c r="B110" s="5">
        <v>41</v>
      </c>
      <c r="C110" s="5" t="s">
        <v>611</v>
      </c>
      <c r="D110" s="5">
        <v>60</v>
      </c>
      <c r="E110" s="5">
        <v>44</v>
      </c>
      <c r="F110" s="7" t="s">
        <v>214</v>
      </c>
      <c r="G110" s="7" t="s">
        <v>173</v>
      </c>
      <c r="H110" s="5" t="s">
        <v>215</v>
      </c>
      <c r="I110" s="10" t="s">
        <v>517</v>
      </c>
      <c r="J110" s="7" t="s">
        <v>516</v>
      </c>
      <c r="K110" s="7" t="s">
        <v>46</v>
      </c>
      <c r="L110" s="5" t="str">
        <f>LEFT(K110,FIND( ",",K110)-1)</f>
        <v>Jumat</v>
      </c>
      <c r="M110" s="2" t="str">
        <f>MID(K110,FIND(",",K110)+2,LEN(K110))</f>
        <v>14:00 - 15:40</v>
      </c>
      <c r="N110" s="7" t="s">
        <v>177</v>
      </c>
    </row>
    <row r="111" spans="2:14" ht="100.8" x14ac:dyDescent="0.3">
      <c r="B111" s="5">
        <v>41</v>
      </c>
      <c r="C111" s="5" t="s">
        <v>611</v>
      </c>
      <c r="D111" s="5">
        <v>60</v>
      </c>
      <c r="E111" s="5">
        <v>12</v>
      </c>
      <c r="F111" s="7" t="s">
        <v>497</v>
      </c>
      <c r="G111" s="7" t="s">
        <v>173</v>
      </c>
      <c r="H111" s="5" t="s">
        <v>498</v>
      </c>
      <c r="I111" s="10" t="s">
        <v>499</v>
      </c>
      <c r="J111" s="7" t="s">
        <v>474</v>
      </c>
      <c r="K111" s="7" t="s">
        <v>263</v>
      </c>
      <c r="L111" s="5" t="str">
        <f>LEFT(K111,FIND( ",",K111)-1)</f>
        <v>Kamis</v>
      </c>
      <c r="M111" s="2" t="str">
        <f>MID(K111,FIND(",",K111)+2,LEN(K111))</f>
        <v>13:00 - 13:50</v>
      </c>
      <c r="N111" s="7" t="s">
        <v>177</v>
      </c>
    </row>
    <row r="112" spans="2:14" ht="72" x14ac:dyDescent="0.3">
      <c r="B112" s="5">
        <v>41</v>
      </c>
      <c r="C112" s="5" t="s">
        <v>611</v>
      </c>
      <c r="D112" s="5">
        <v>60</v>
      </c>
      <c r="E112" s="5">
        <v>52</v>
      </c>
      <c r="F112" s="7" t="s">
        <v>297</v>
      </c>
      <c r="G112" s="7" t="s">
        <v>220</v>
      </c>
      <c r="H112" s="5" t="s">
        <v>298</v>
      </c>
      <c r="I112" s="10" t="s">
        <v>542</v>
      </c>
      <c r="J112" s="7" t="s">
        <v>471</v>
      </c>
      <c r="K112" s="7" t="s">
        <v>202</v>
      </c>
      <c r="L112" s="5" t="str">
        <f>LEFT(K112,FIND( ",",K112)-1)</f>
        <v>Kamis</v>
      </c>
      <c r="M112" s="2" t="str">
        <f>MID(K112,FIND(",",K112)+2,LEN(K112))</f>
        <v>15:00 - 16:40</v>
      </c>
      <c r="N112" s="7" t="s">
        <v>224</v>
      </c>
    </row>
    <row r="113" spans="2:14" ht="72" x14ac:dyDescent="0.3">
      <c r="B113" s="5">
        <v>41</v>
      </c>
      <c r="C113" s="5" t="s">
        <v>611</v>
      </c>
      <c r="D113" s="5">
        <v>60</v>
      </c>
      <c r="E113" s="5">
        <v>52</v>
      </c>
      <c r="F113" s="7" t="s">
        <v>297</v>
      </c>
      <c r="G113" s="7" t="s">
        <v>220</v>
      </c>
      <c r="H113" s="5" t="s">
        <v>298</v>
      </c>
      <c r="I113" s="10" t="s">
        <v>542</v>
      </c>
      <c r="J113" s="7" t="s">
        <v>290</v>
      </c>
      <c r="K113" s="7" t="s">
        <v>202</v>
      </c>
      <c r="L113" s="5" t="str">
        <f>LEFT(K113,FIND( ",",K113)-1)</f>
        <v>Kamis</v>
      </c>
      <c r="M113" s="2" t="str">
        <f>MID(K113,FIND(",",K113)+2,LEN(K113))</f>
        <v>15:00 - 16:40</v>
      </c>
      <c r="N113" s="7" t="s">
        <v>224</v>
      </c>
    </row>
  </sheetData>
  <hyperlinks>
    <hyperlink ref="I100" r:id="rId1" display="https://slcm.ui.ac.id/akademik/schedule/room-usage-report" xr:uid="{3C0BD2EC-5AA6-4549-B42F-52CB96C14671}"/>
    <hyperlink ref="I99" r:id="rId2" display="https://slcm.ui.ac.id/akademik/schedule/room-usage-report" xr:uid="{38FECAA9-5FBC-4D90-B0F6-EE13B3E96E5F}"/>
    <hyperlink ref="I98" r:id="rId3" display="https://slcm.ui.ac.id/akademik/schedule/room-usage-report" xr:uid="{85167D46-DA78-4DED-B20A-7E0E909356B4}"/>
    <hyperlink ref="I97" r:id="rId4" display="https://slcm.ui.ac.id/akademik/schedule/room-usage-report" xr:uid="{AF4B37B5-AF26-448A-B1C1-F067AFD73C66}"/>
    <hyperlink ref="I96" r:id="rId5" display="https://slcm.ui.ac.id/akademik/schedule/room-usage-report" xr:uid="{2B78335A-43CA-4B1C-898C-9083B68B5AE8}"/>
    <hyperlink ref="I95" r:id="rId6" display="https://slcm.ui.ac.id/akademik/schedule/room-usage-report" xr:uid="{291EC19A-4B95-4E0F-8CB2-9BFC1AF9CFAC}"/>
    <hyperlink ref="I94" r:id="rId7" display="https://slcm.ui.ac.id/akademik/schedule/room-usage-report" xr:uid="{01FEB6D1-EC55-4D8C-944B-2A837DA8BD21}"/>
    <hyperlink ref="I93" r:id="rId8" display="https://slcm.ui.ac.id/akademik/schedule/room-usage-report" xr:uid="{B958FB4C-EB72-4AE8-8D36-6372B17B5DAF}"/>
    <hyperlink ref="I92" r:id="rId9" display="https://slcm.ui.ac.id/akademik/schedule/room-usage-report" xr:uid="{4991A68A-3AA8-45F9-9F8F-A9912A4760B7}"/>
    <hyperlink ref="I91" r:id="rId10" display="https://slcm.ui.ac.id/akademik/schedule/room-usage-report" xr:uid="{3CCC03D3-75D3-4464-9F4D-8AC4A7F6F5C1}"/>
    <hyperlink ref="I90" r:id="rId11" display="https://slcm.ui.ac.id/akademik/schedule/room-usage-report" xr:uid="{056E2DEB-6C92-4092-B27A-34A17BC91BE5}"/>
    <hyperlink ref="I89" r:id="rId12" display="https://slcm.ui.ac.id/akademik/schedule/room-usage-report" xr:uid="{DBBDF0A4-87A6-493E-B6C0-85B8A2D1F8A5}"/>
    <hyperlink ref="I88" r:id="rId13" display="https://slcm.ui.ac.id/akademik/schedule/room-usage-report" xr:uid="{03D6F881-EF5F-4273-BB98-3D15F823BD6A}"/>
    <hyperlink ref="I87" r:id="rId14" display="https://slcm.ui.ac.id/akademik/schedule/room-usage-report" xr:uid="{5D804689-BAB0-4D4B-ADE5-D759BFE1A0F7}"/>
    <hyperlink ref="I86" r:id="rId15" display="https://slcm.ui.ac.id/akademik/schedule/room-usage-report" xr:uid="{97734313-46C0-432C-A441-569A3B540E5B}"/>
    <hyperlink ref="I85" r:id="rId16" display="https://slcm.ui.ac.id/akademik/schedule/room-usage-report" xr:uid="{08B8BBF3-FC9C-4F2E-B7A5-E398D68A21E1}"/>
    <hyperlink ref="I84" r:id="rId17" display="https://slcm.ui.ac.id/akademik/schedule/room-usage-report" xr:uid="{8DD5C6D6-02F4-4A80-9309-FCFFDFB3E6F8}"/>
    <hyperlink ref="I83" r:id="rId18" display="https://slcm.ui.ac.id/akademik/schedule/room-usage-report" xr:uid="{3EF58BA2-39B4-4DDB-BD16-6069F9517D79}"/>
    <hyperlink ref="I82" r:id="rId19" display="https://slcm.ui.ac.id/akademik/schedule/room-usage-report" xr:uid="{CCAE8A76-4B41-47D9-8A1E-E9CA4D60B784}"/>
    <hyperlink ref="I81" r:id="rId20" display="https://slcm.ui.ac.id/akademik/schedule/room-usage-report" xr:uid="{A56FADF9-9FFF-4DA6-85A8-7F4202D20286}"/>
    <hyperlink ref="I80" r:id="rId21" display="https://slcm.ui.ac.id/akademik/schedule/room-usage-report" xr:uid="{60ECB6E3-FF70-4FBC-AD52-D54E8B6E330F}"/>
    <hyperlink ref="I79" r:id="rId22" display="https://slcm.ui.ac.id/akademik/schedule/room-usage-report" xr:uid="{AA5CC24A-6BA8-4761-9E17-0EA7315F1C2A}"/>
    <hyperlink ref="I78" r:id="rId23" display="https://slcm.ui.ac.id/akademik/schedule/room-usage-report" xr:uid="{D72F2607-FA80-445B-A8D7-5AFC31D6C61A}"/>
    <hyperlink ref="I77" r:id="rId24" display="https://slcm.ui.ac.id/akademik/schedule/room-usage-report" xr:uid="{1793BC70-0C94-4754-B364-4B0ACE108D92}"/>
    <hyperlink ref="I76" r:id="rId25" display="https://slcm.ui.ac.id/akademik/schedule/room-usage-report" xr:uid="{33B892C6-DA39-4302-9728-ECDD07109919}"/>
    <hyperlink ref="I75" r:id="rId26" display="https://slcm.ui.ac.id/akademik/schedule/room-usage-report" xr:uid="{AD7D62FA-A8C6-434A-B1DE-D16C04A99975}"/>
    <hyperlink ref="I74" r:id="rId27" display="https://slcm.ui.ac.id/akademik/schedule/room-usage-report" xr:uid="{60CAF0A7-E01B-43E5-8B02-95C08C8FE766}"/>
    <hyperlink ref="I73" r:id="rId28" display="https://slcm.ui.ac.id/akademik/schedule/room-usage-report" xr:uid="{D6F8728D-CDB3-4E12-AE33-52BB204FCC0D}"/>
    <hyperlink ref="I72" r:id="rId29" display="https://slcm.ui.ac.id/akademik/schedule/room-usage-report" xr:uid="{8F9A0906-8805-49DC-9790-C095CD0BC999}"/>
    <hyperlink ref="I71" r:id="rId30" display="https://slcm.ui.ac.id/akademik/schedule/room-usage-report" xr:uid="{FE6BD565-ED4D-48F8-B818-EED4082E93D0}"/>
    <hyperlink ref="I70" r:id="rId31" display="https://slcm.ui.ac.id/akademik/schedule/room-usage-report" xr:uid="{4D81CACB-8725-44B2-A655-0D74A3D7986A}"/>
    <hyperlink ref="I69" r:id="rId32" display="https://slcm.ui.ac.id/akademik/schedule/room-usage-report" xr:uid="{07E4ABE3-236B-440E-9152-8019A1E15699}"/>
    <hyperlink ref="I68" r:id="rId33" display="https://slcm.ui.ac.id/akademik/schedule/room-usage-report" xr:uid="{DAF32CC0-100A-4B6D-92CE-1A619A9269B3}"/>
    <hyperlink ref="I67" r:id="rId34" display="https://slcm.ui.ac.id/akademik/schedule/room-usage-report" xr:uid="{62B1EC5A-98C7-48D3-8472-761AF8CAA73E}"/>
    <hyperlink ref="I66" r:id="rId35" display="https://slcm.ui.ac.id/akademik/schedule/room-usage-report" xr:uid="{3F65A84C-DDC1-4F3A-AA7F-62667EA39A9C}"/>
    <hyperlink ref="I65" r:id="rId36" display="https://slcm.ui.ac.id/akademik/schedule/room-usage-report" xr:uid="{EA83EB0D-E32B-45F1-8033-1536BA6CF7A4}"/>
    <hyperlink ref="I64" r:id="rId37" display="https://slcm.ui.ac.id/akademik/schedule/room-usage-report" xr:uid="{D2B0C26F-CD35-4826-B31A-10E21CA2A47F}"/>
    <hyperlink ref="I63" r:id="rId38" display="https://slcm.ui.ac.id/akademik/schedule/room-usage-report" xr:uid="{4AB63AA9-CC4A-4956-BB7D-43DF922088B5}"/>
    <hyperlink ref="I62" r:id="rId39" display="https://slcm.ui.ac.id/akademik/schedule/room-usage-report" xr:uid="{FFFC704A-5F73-4A7C-B570-FE79E253BF07}"/>
    <hyperlink ref="I61" r:id="rId40" display="https://slcm.ui.ac.id/akademik/schedule/room-usage-report" xr:uid="{39633469-F4D4-48FD-BA92-5D05064F5B47}"/>
    <hyperlink ref="I60" r:id="rId41" display="https://slcm.ui.ac.id/akademik/schedule/room-usage-report" xr:uid="{D57252F9-B5AF-42BE-ACE7-AC49E59785D7}"/>
    <hyperlink ref="I59" r:id="rId42" display="https://slcm.ui.ac.id/akademik/schedule/room-usage-report" xr:uid="{AD5DA4F5-20A9-427C-8558-FCCBE43B43CE}"/>
    <hyperlink ref="I58" r:id="rId43" display="https://slcm.ui.ac.id/akademik/schedule/room-usage-report" xr:uid="{1C80F6C2-1256-47C3-9971-4C736C5DEAAD}"/>
    <hyperlink ref="I57" r:id="rId44" display="https://slcm.ui.ac.id/akademik/schedule/room-usage-report" xr:uid="{81407121-1293-4E7D-9C38-69642F1EBB14}"/>
    <hyperlink ref="I56" r:id="rId45" display="https://slcm.ui.ac.id/akademik/schedule/room-usage-report" xr:uid="{05013B85-9723-4C8B-98EF-C0D18D2E1335}"/>
    <hyperlink ref="I55" r:id="rId46" display="https://slcm.ui.ac.id/akademik/schedule/room-usage-report" xr:uid="{0A2CA4AD-DA3B-4E26-8CB6-83E03B0894DD}"/>
    <hyperlink ref="I54" r:id="rId47" display="https://slcm.ui.ac.id/akademik/schedule/room-usage-report" xr:uid="{BA5B4366-BAAE-4707-B0C8-1955602BCD94}"/>
    <hyperlink ref="I53" r:id="rId48" display="https://slcm.ui.ac.id/akademik/schedule/room-usage-report" xr:uid="{95CC09A4-DC6A-4B34-AC5E-D2DF0755B361}"/>
    <hyperlink ref="I52" r:id="rId49" display="https://slcm.ui.ac.id/akademik/schedule/room-usage-report" xr:uid="{DCEFA63C-678F-469B-B88C-2DCE9995E10A}"/>
    <hyperlink ref="I51" r:id="rId50" display="https://slcm.ui.ac.id/akademik/schedule/room-usage-report" xr:uid="{855BC4D9-9BDD-4A6C-93E9-7A1B97AAC791}"/>
    <hyperlink ref="I50" r:id="rId51" display="https://slcm.ui.ac.id/akademik/schedule/room-usage-report" xr:uid="{884E405E-BEEB-460D-B47B-BB3F27D1983A}"/>
    <hyperlink ref="I49" r:id="rId52" display="https://slcm.ui.ac.id/akademik/schedule/room-usage-report" xr:uid="{52C28719-13D8-404F-B932-D5626C8B857F}"/>
    <hyperlink ref="I48" r:id="rId53" display="https://slcm.ui.ac.id/akademik/schedule/room-usage-report" xr:uid="{236C8693-2512-48DC-B643-39E51FC3418A}"/>
    <hyperlink ref="I47" r:id="rId54" display="https://slcm.ui.ac.id/akademik/schedule/room-usage-report" xr:uid="{E0F4EC20-F9DF-4C9C-8198-CC5AA6828BE1}"/>
    <hyperlink ref="I46" r:id="rId55" display="https://slcm.ui.ac.id/akademik/schedule/room-usage-report" xr:uid="{880A7A50-C562-470C-8902-1268F1505770}"/>
    <hyperlink ref="I45" r:id="rId56" display="https://slcm.ui.ac.id/akademik/schedule/room-usage-report" xr:uid="{78AB72ED-81D4-4612-B5DE-9EF0BDC4DDF2}"/>
    <hyperlink ref="I44" r:id="rId57" display="https://slcm.ui.ac.id/akademik/schedule/room-usage-report" xr:uid="{8DF74F06-7F8A-4288-95B5-02F70ADA1512}"/>
    <hyperlink ref="I43" r:id="rId58" display="https://slcm.ui.ac.id/akademik/schedule/room-usage-report" xr:uid="{A4D722B3-67A3-4C32-9E01-9EC81CDB3980}"/>
    <hyperlink ref="I42" r:id="rId59" display="https://slcm.ui.ac.id/akademik/schedule/room-usage-report" xr:uid="{90D29635-A1BA-4465-ADF9-07EADA886D15}"/>
    <hyperlink ref="I41" r:id="rId60" display="https://slcm.ui.ac.id/akademik/schedule/room-usage-report" xr:uid="{3FCE9716-0163-4549-81AE-E9D11BB8D406}"/>
    <hyperlink ref="I40" r:id="rId61" display="https://slcm.ui.ac.id/akademik/schedule/room-usage-report" xr:uid="{2974264F-CEF9-43BC-8EE6-F3FCF869C780}"/>
    <hyperlink ref="I39" r:id="rId62" display="https://slcm.ui.ac.id/akademik/schedule/room-usage-report" xr:uid="{194C840D-A4D2-4A28-9D30-5233F25519EA}"/>
    <hyperlink ref="I38" r:id="rId63" display="https://slcm.ui.ac.id/akademik/schedule/room-usage-report" xr:uid="{1E1F456E-BEE2-4161-981A-A105F4BBFD13}"/>
    <hyperlink ref="I37" r:id="rId64" display="https://slcm.ui.ac.id/akademik/schedule/room-usage-report" xr:uid="{42D4FD79-57A6-427C-B162-DA2D19A01A6F}"/>
    <hyperlink ref="I36" r:id="rId65" display="https://slcm.ui.ac.id/akademik/schedule/room-usage-report" xr:uid="{D35627E3-60B1-4A80-B4DE-EB3908BD7834}"/>
    <hyperlink ref="I35" r:id="rId66" display="https://slcm.ui.ac.id/akademik/schedule/room-usage-report" xr:uid="{CC16258F-62F3-48BF-B4E0-2FBA95622663}"/>
    <hyperlink ref="I34" r:id="rId67" display="https://slcm.ui.ac.id/akademik/schedule/room-usage-report" xr:uid="{9EEFB3AF-B6FC-414B-81A8-FA8566A4F18F}"/>
    <hyperlink ref="I33" r:id="rId68" display="https://slcm.ui.ac.id/akademik/schedule/room-usage-report" xr:uid="{D64EFB8F-D3F6-41A5-87DB-5F4617236C33}"/>
    <hyperlink ref="I32" r:id="rId69" display="https://slcm.ui.ac.id/akademik/schedule/room-usage-report" xr:uid="{7BDE166E-052B-40B0-9048-87112EA3FDC2}"/>
    <hyperlink ref="I31" r:id="rId70" display="https://slcm.ui.ac.id/akademik/schedule/room-usage-report" xr:uid="{513E8FC0-F089-472E-A01C-48B3D2B10DA1}"/>
    <hyperlink ref="I30" r:id="rId71" display="https://slcm.ui.ac.id/akademik/schedule/room-usage-report" xr:uid="{1C952359-8116-46DE-B778-5A85D8DFAF8D}"/>
    <hyperlink ref="I29" r:id="rId72" display="https://slcm.ui.ac.id/akademik/schedule/room-usage-report" xr:uid="{634D809A-983B-4BA1-865A-198780347831}"/>
    <hyperlink ref="I28" r:id="rId73" display="https://slcm.ui.ac.id/akademik/schedule/room-usage-report" xr:uid="{544D51AE-1EFF-4A62-8F78-1D44B7B4DDCF}"/>
    <hyperlink ref="I27" r:id="rId74" display="https://slcm.ui.ac.id/akademik/schedule/room-usage-report" xr:uid="{2450169D-4D01-4D4A-823F-9527C00B0B17}"/>
    <hyperlink ref="I26" r:id="rId75" display="https://slcm.ui.ac.id/akademik/schedule/room-usage-report" xr:uid="{7A77C2B8-CF3B-4543-9FF1-BCF6E8B78300}"/>
    <hyperlink ref="I25" r:id="rId76" display="https://slcm.ui.ac.id/akademik/schedule/room-usage-report" xr:uid="{FBD01BFD-96B3-4A0D-A5C5-EA57841509F3}"/>
    <hyperlink ref="I24" r:id="rId77" display="https://slcm.ui.ac.id/akademik/schedule/room-usage-report" xr:uid="{0FEABE3B-AD63-4F86-AD18-5F28FFBCF74E}"/>
    <hyperlink ref="I23" r:id="rId78" display="https://slcm.ui.ac.id/akademik/schedule/room-usage-report" xr:uid="{AF5DECFD-E91B-49A3-ABB4-219A3776414C}"/>
    <hyperlink ref="I22" r:id="rId79" display="https://slcm.ui.ac.id/akademik/schedule/room-usage-report" xr:uid="{2E3C9BE1-4F9F-45C9-9BB7-428CD0D80555}"/>
    <hyperlink ref="I21" r:id="rId80" display="https://slcm.ui.ac.id/akademik/schedule/room-usage-report" xr:uid="{004BCD73-AF7D-4F35-AC9F-0D76813EC676}"/>
    <hyperlink ref="I20" r:id="rId81" display="https://slcm.ui.ac.id/akademik/schedule/room-usage-report" xr:uid="{5851549A-EFD0-49D6-A8DD-EABFDF49209E}"/>
    <hyperlink ref="I19" r:id="rId82" display="https://slcm.ui.ac.id/akademik/schedule/room-usage-report" xr:uid="{8A8F809B-67DA-4C69-95DC-3587D800F148}"/>
    <hyperlink ref="I18" r:id="rId83" display="https://slcm.ui.ac.id/akademik/schedule/room-usage-report" xr:uid="{2E591EE6-0359-4CAB-B160-A32FEA02E932}"/>
    <hyperlink ref="I17" r:id="rId84" display="https://slcm.ui.ac.id/akademik/schedule/room-usage-report" xr:uid="{4ADDC865-02F3-437D-907E-8B5CF11E0DD9}"/>
    <hyperlink ref="I16" r:id="rId85" display="https://slcm.ui.ac.id/akademik/schedule/room-usage-report" xr:uid="{2E6531D7-97A2-4D84-8269-7747DADC2DC5}"/>
    <hyperlink ref="I15" r:id="rId86" display="https://slcm.ui.ac.id/akademik/schedule/room-usage-report" xr:uid="{F974C32B-3EAF-4F75-8D05-64D9B98468FE}"/>
    <hyperlink ref="I14" r:id="rId87" display="https://slcm.ui.ac.id/akademik/schedule/room-usage-report" xr:uid="{09678985-31B2-413D-BDB3-934BC149CCFA}"/>
    <hyperlink ref="I13" r:id="rId88" display="https://slcm.ui.ac.id/akademik/schedule/room-usage-report" xr:uid="{73B5B002-0C99-4768-B772-ABD57BB9FD03}"/>
    <hyperlink ref="I12" r:id="rId89" display="https://slcm.ui.ac.id/akademik/schedule/room-usage-report" xr:uid="{13EF8ABE-BE12-42EB-AC23-1CF004D7AE7F}"/>
    <hyperlink ref="I11" r:id="rId90" display="https://slcm.ui.ac.id/akademik/schedule/room-usage-report" xr:uid="{386370EE-53FB-4A38-8172-7A7DDF614D41}"/>
    <hyperlink ref="I10" r:id="rId91" display="https://slcm.ui.ac.id/akademik/schedule/room-usage-report" xr:uid="{8430D5C3-3C4C-4708-B04F-54F17B3AECB6}"/>
    <hyperlink ref="I9" r:id="rId92" display="https://slcm.ui.ac.id/akademik/schedule/room-usage-report" xr:uid="{6DC254D4-79D9-4B49-9260-5B882F13A28B}"/>
    <hyperlink ref="I8" r:id="rId93" display="https://slcm.ui.ac.id/akademik/schedule/room-usage-report" xr:uid="{93FBEDC0-A6C5-49B7-AD17-072F63CD0E02}"/>
    <hyperlink ref="I7" r:id="rId94" display="https://slcm.ui.ac.id/akademik/schedule/room-usage-report" xr:uid="{7EA18063-1CDC-461A-913A-23881B155286}"/>
    <hyperlink ref="I6" r:id="rId95" display="https://slcm.ui.ac.id/akademik/schedule/room-usage-report" xr:uid="{0325F313-99FC-457E-BF84-B599C8545797}"/>
    <hyperlink ref="I5" r:id="rId96" display="https://slcm.ui.ac.id/akademik/schedule/room-usage-report" xr:uid="{6D0EBBA6-F6A7-4F28-8ABC-99591B1C214A}"/>
    <hyperlink ref="I4" r:id="rId97" display="https://slcm.ui.ac.id/akademik/schedule/room-usage-report" xr:uid="{1D8A0C10-E8AC-486D-A0AF-F608A50B2F6B}"/>
    <hyperlink ref="I3" r:id="rId98" display="https://slcm.ui.ac.id/akademik/schedule/room-usage-report" xr:uid="{EF60A21A-9E6E-4DE7-BA1A-F3B0BCDBF9E7}"/>
    <hyperlink ref="I2" r:id="rId99" display="https://slcm.ui.ac.id/akademik/schedule/room-usage-report" xr:uid="{EDBA8AAA-4A8E-45CC-BC88-4F61EAF740E2}"/>
    <hyperlink ref="I110" r:id="rId100" display="https://slcm.ui.ac.id/akademik/schedule/room-usage-report" xr:uid="{EAA2DCBE-3B15-4939-ABE6-195D3BCEBBCB}"/>
    <hyperlink ref="I109" r:id="rId101" display="https://slcm.ui.ac.id/akademik/schedule/room-usage-report" xr:uid="{E6F052DD-331D-451E-AC43-B93DF40F5429}"/>
    <hyperlink ref="I113" r:id="rId102" display="https://slcm.ui.ac.id/akademik/schedule/room-usage-report" xr:uid="{6FF27046-5E24-454E-8828-7074A5638BBF}"/>
    <hyperlink ref="I112" r:id="rId103" display="https://slcm.ui.ac.id/akademik/schedule/room-usage-report" xr:uid="{1484D1C5-AE00-46D8-924A-880E9B9BC34D}"/>
    <hyperlink ref="I111" r:id="rId104" display="https://slcm.ui.ac.id/akademik/schedule/room-usage-report" xr:uid="{2842FA97-99F9-440B-B719-90003E091EEB}"/>
    <hyperlink ref="I107" r:id="rId105" display="https://slcm.ui.ac.id/akademik/schedule/room-usage-report" xr:uid="{6A9E56AD-DC0D-4C0A-9EB9-705AFBC26721}"/>
    <hyperlink ref="I106" r:id="rId106" display="https://slcm.ui.ac.id/akademik/schedule/room-usage-report" xr:uid="{EA5564B6-3B33-4D70-9F3D-BBD34E376485}"/>
    <hyperlink ref="I108" r:id="rId107" display="https://slcm.ui.ac.id/akademik/schedule/room-usage-report" xr:uid="{221D0DF9-099D-4602-82B6-C252999672D5}"/>
    <hyperlink ref="I103" r:id="rId108" display="https://slcm.ui.ac.id/akademik/schedule/room-usage-report" xr:uid="{C270F437-1AF4-4795-9D19-9BB115ED3D7E}"/>
    <hyperlink ref="I102" r:id="rId109" display="https://slcm.ui.ac.id/akademik/schedule/room-usage-report" xr:uid="{D19E8D9F-FD4D-4A26-8F97-8F7ADD5F67CC}"/>
    <hyperlink ref="I105" r:id="rId110" display="https://slcm.ui.ac.id/akademik/schedule/room-usage-report" xr:uid="{9F48904F-20B2-48A9-9A7D-B3FE04D21F7D}"/>
    <hyperlink ref="I104" r:id="rId111" display="https://slcm.ui.ac.id/akademik/schedule/room-usage-report" xr:uid="{D2CD895F-2337-4943-B612-467326A602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Gedung Baru</vt:lpstr>
      <vt:lpstr>Gedung Lama</vt:lpstr>
    </vt:vector>
  </TitlesOfParts>
  <Company>University of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Karim Yusuf</cp:lastModifiedBy>
  <dcterms:created xsi:type="dcterms:W3CDTF">2026-08-20T10:20:52Z</dcterms:created>
  <dcterms:modified xsi:type="dcterms:W3CDTF">2026-08-23T12:40:07Z</dcterms:modified>
</cp:coreProperties>
</file>